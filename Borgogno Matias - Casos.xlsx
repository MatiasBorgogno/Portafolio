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Escritorio mati\Importante JEJEJEJEJEJJEJEJEJEJE\Trabajo final\"/>
    </mc:Choice>
  </mc:AlternateContent>
  <bookViews>
    <workbookView xWindow="0" yWindow="0" windowWidth="21570" windowHeight="10215"/>
  </bookViews>
  <sheets>
    <sheet name="Casos y ejecuciones" sheetId="1" r:id="rId1"/>
  </sheets>
  <calcPr calcId="152511"/>
  <fileRecoveryPr repairLoad="1"/>
</workbook>
</file>

<file path=xl/calcChain.xml><?xml version="1.0" encoding="utf-8"?>
<calcChain xmlns="http://schemas.openxmlformats.org/spreadsheetml/2006/main">
  <c r="G177" i="1" l="1"/>
  <c r="F177" i="1"/>
  <c r="E177" i="1"/>
  <c r="D177" i="1"/>
  <c r="C177" i="1"/>
  <c r="B177" i="1"/>
  <c r="E159" i="1"/>
  <c r="E158" i="1"/>
  <c r="E157" i="1"/>
  <c r="B157" i="1" l="1"/>
  <c r="B158" i="1"/>
</calcChain>
</file>

<file path=xl/sharedStrings.xml><?xml version="1.0" encoding="utf-8"?>
<sst xmlns="http://schemas.openxmlformats.org/spreadsheetml/2006/main" count="575" uniqueCount="236">
  <si>
    <t xml:space="preserve">Id </t>
  </si>
  <si>
    <t>Tipo</t>
  </si>
  <si>
    <t>Nombre</t>
  </si>
  <si>
    <t>Objetivo</t>
  </si>
  <si>
    <t>Precondiciones</t>
  </si>
  <si>
    <t>Datos de entrada</t>
  </si>
  <si>
    <t>Nro</t>
  </si>
  <si>
    <t>Paso</t>
  </si>
  <si>
    <t>Prioridad</t>
  </si>
  <si>
    <t>Estado del CP</t>
  </si>
  <si>
    <t>Positivo</t>
  </si>
  <si>
    <t>Alta</t>
  </si>
  <si>
    <t>El puntero cambia de forma a una manito.</t>
  </si>
  <si>
    <t>Negativo</t>
  </si>
  <si>
    <t>Baja</t>
  </si>
  <si>
    <t>Media</t>
  </si>
  <si>
    <t>Dispositivos</t>
  </si>
  <si>
    <t>Navegadores</t>
  </si>
  <si>
    <t>Chrome</t>
  </si>
  <si>
    <t>Registro</t>
  </si>
  <si>
    <t>Registro - Terms of service</t>
  </si>
  <si>
    <t>Collections - Manage collections</t>
  </si>
  <si>
    <t xml:space="preserve">Collections - crear nueva collection con nombre de mas de 60 caracteres </t>
  </si>
  <si>
    <t>Registro - Username</t>
  </si>
  <si>
    <t>Ingresar a https://itch.io/</t>
  </si>
  <si>
    <t>https://itch.io/</t>
  </si>
  <si>
    <t>Que se cargue la pagina web de registro.</t>
  </si>
  <si>
    <t>Ingresa correctamente al sitio.</t>
  </si>
  <si>
    <t>Mover el puntero sobre el boton "Register".</t>
  </si>
  <si>
    <t>Hacer click sobre el boton "Register".</t>
  </si>
  <si>
    <t>Registro - username</t>
  </si>
  <si>
    <t>Mover el puntero sobre el boton "Create account".</t>
  </si>
  <si>
    <t>Aparece un cartel en el formulario de "Username" pidiendo que completemos el campo</t>
  </si>
  <si>
    <t>Registro - Password</t>
  </si>
  <si>
    <t>Ingresar los datos de usuario.</t>
  </si>
  <si>
    <t>Hacer click fuera del formulario "Username".</t>
  </si>
  <si>
    <t>Hacer click sobre el formulario "Password".</t>
  </si>
  <si>
    <t>Ingresar los datos de contraseña.</t>
  </si>
  <si>
    <t>Acceder a los terminos de servicio de la pagina.</t>
  </si>
  <si>
    <t>Hacer click sobre el formulario "Repeat Password".</t>
  </si>
  <si>
    <t>Hacer click sobre el boton "Create account".</t>
  </si>
  <si>
    <t>Ingresar datos diferentes a los de la contraseña</t>
  </si>
  <si>
    <t>Que figuren circulos negros tapando la contraseña.</t>
  </si>
  <si>
    <t>Que se vea una linea titilante para escribir con el teclado.</t>
  </si>
  <si>
    <t>Que figure el nombre de usuario.</t>
  </si>
  <si>
    <t>El borde del formulario cambia a un color verde y nos pone un tick verde para informar que esta disponible el nombre de usuario.</t>
  </si>
  <si>
    <t>Aparece un cartel informando de que no coinciden las contraseñas.</t>
  </si>
  <si>
    <t>Ubicar el puntero sobre el hipervinculo "Terms of service".</t>
  </si>
  <si>
    <t>Hacer click sobre "Terms of service".</t>
  </si>
  <si>
    <t>hacer click sobre el formulario "Your email address"</t>
  </si>
  <si>
    <t>Ingresar los datos de Mail.</t>
  </si>
  <si>
    <t>Que figuren los datos de Mail.</t>
  </si>
  <si>
    <t>Hacer click sobre el recuadro "I accept the terms of service".</t>
  </si>
  <si>
    <t>Que el recuadro indique con un tick que esta marcado.</t>
  </si>
  <si>
    <t>Nos loguea a la nueva cuenta y nos envia a la pagina de feed de itch.io</t>
  </si>
  <si>
    <t>Que se cargue la pagina web de los terminos de servicio de itch.io</t>
  </si>
  <si>
    <t>Agregar un juego a una nueva coleccion.</t>
  </si>
  <si>
    <t>Collections - Agregar un juego</t>
  </si>
  <si>
    <t>Ubicar el puntero sobre un juego.</t>
  </si>
  <si>
    <t>Hacer click sobre el boton "Add to collection".</t>
  </si>
  <si>
    <t>Ubicar el puntero sobre el boton rojo "Add to collection".</t>
  </si>
  <si>
    <t>Hacer click sobre el boton rojo "Add to collection".</t>
  </si>
  <si>
    <t>El puntero cambia de forma a una manito, nos muestra informacion ampliada del juego y el boton "Add to collection".</t>
  </si>
  <si>
    <t>Se abre una interfaz para agregar el juego a una colección.</t>
  </si>
  <si>
    <t>Nos informa de que el juego se agrego a la colección.</t>
  </si>
  <si>
    <t>Ubicar el puntero sobre la flechita al lado de nuestro nombre de usuario</t>
  </si>
  <si>
    <t>Hacer click sobre la flechita</t>
  </si>
  <si>
    <t>hacer click sobre el boton "My library".</t>
  </si>
  <si>
    <t>Ubicar el puntero sobre el boton "My library".</t>
  </si>
  <si>
    <t>Ubicar el puntero sobre el hipervinculo "Edit title".</t>
  </si>
  <si>
    <t>Hacer click en el hipervinculo.</t>
  </si>
  <si>
    <t>Borrar los datos.</t>
  </si>
  <si>
    <t>Apretar la tecla enter en el teclado.</t>
  </si>
  <si>
    <t>Nos abre un menu desplegable.</t>
  </si>
  <si>
    <t>Nos lleva a la pagina con nuestras coleciones</t>
  </si>
  <si>
    <t>Nos abre un formulario para cambiar el nombre de la colección</t>
  </si>
  <si>
    <t>Eliminamos el nombre de la colección.</t>
  </si>
  <si>
    <t>Aparece un cartel de error diciendonos que tenemos que poner de 1 a 60 caracteres en el titulo de nuestra colección.</t>
  </si>
  <si>
    <t>Collections - editar nombre de colección</t>
  </si>
  <si>
    <t>Que no nos permita editar una colección existente y eliminar el nombre.</t>
  </si>
  <si>
    <t>Que no nos permita agregar un juego a una collecion sin nombre.</t>
  </si>
  <si>
    <t>Hacer click sobre el nombre de la colección creada en el campo "Add to existing collection"</t>
  </si>
  <si>
    <t>Eliminar el nombre de la colección.</t>
  </si>
  <si>
    <t>Aparece una linea titilante y nos permite modificar el texto.</t>
  </si>
  <si>
    <t>Se borra el texto.</t>
  </si>
  <si>
    <t>Nos indica que hubo un error diciendo "id: expected integrer"</t>
  </si>
  <si>
    <t>Que nos avise de que no podemos crear una colección de mas de 60 caracteres.</t>
  </si>
  <si>
    <t>Hacer click sobre el formulario de la seccion "Add to new collection titled".</t>
  </si>
  <si>
    <t>Ingresamos un titulo de mas de 60 caracteres.</t>
  </si>
  <si>
    <t>Nos aparece una linea titilante en el formulario y se marca la opcion "Add to new collection titled".</t>
  </si>
  <si>
    <t>Aparece nuestro titulo de mas de 60 caracteres.</t>
  </si>
  <si>
    <t>Nos indica que hubo un error diciendo "title: expected text between 1 and 60 characters, or empty".</t>
  </si>
  <si>
    <t>Que nos permita eliminar una colección ya creada.</t>
  </si>
  <si>
    <t>Ubicar el puntero sobre el boton "Aceptar".</t>
  </si>
  <si>
    <t>Hacer click en el boton "Aceptar".</t>
  </si>
  <si>
    <t>Aparece un cartel para confirmar si queremos borrar la colección.</t>
  </si>
  <si>
    <t>Se borra la colección.</t>
  </si>
  <si>
    <t>Pagina Web</t>
  </si>
  <si>
    <t>Computadora de escritorio con windows 10</t>
  </si>
  <si>
    <t>Motorola Moto g5s plus con android 8.1.0</t>
  </si>
  <si>
    <t>Registro1.02.D</t>
  </si>
  <si>
    <t>Registro1.01.D</t>
  </si>
  <si>
    <t>Collection1.01.D</t>
  </si>
  <si>
    <t>Registro1.03.D</t>
  </si>
  <si>
    <t>Registro1.04.D</t>
  </si>
  <si>
    <t>Registro1.05.D</t>
  </si>
  <si>
    <t>Collection1.02.D</t>
  </si>
  <si>
    <t>Collection1.03.D</t>
  </si>
  <si>
    <t>Collection1.04.D</t>
  </si>
  <si>
    <t>Collection1.05.D</t>
  </si>
  <si>
    <t>Collection1.06.D</t>
  </si>
  <si>
    <t>Collection1.07.D</t>
  </si>
  <si>
    <t>Agregar una breve descripcion para el juego en nuestra collection.</t>
  </si>
  <si>
    <t>Ingresar a https://itch.io/my-collections</t>
  </si>
  <si>
    <t>Hacer click en el recuadro de texto.</t>
  </si>
  <si>
    <t>Ubicar el puntero sobre el juego.</t>
  </si>
  <si>
    <t>Ubicar el puntero sobre el boton "edit text".</t>
  </si>
  <si>
    <t>Escribir con el teclado "AaBbCc"</t>
  </si>
  <si>
    <t>Hacer click en el icono.</t>
  </si>
  <si>
    <t>Collections - agregar imágenes a la descripcion del juego</t>
  </si>
  <si>
    <t>El recuadro del juego muestra un boton de "edit text".</t>
  </si>
  <si>
    <t>El cursor cambia de forma a una manito.</t>
  </si>
  <si>
    <t>Hacer click sobre el boton "edit text".</t>
  </si>
  <si>
    <t>Se abre una interfaz para agregar una breve descripcion sobre el juego.</t>
  </si>
  <si>
    <t>Figura el texto escrito con el teclado.</t>
  </si>
  <si>
    <t>El boton cambia a color rojo, nos muestra un cuadro de texto que dice "Add image" y el cursor cambia de forma a una manito</t>
  </si>
  <si>
    <t>Se abre un cuadro para agregar una imagen.</t>
  </si>
  <si>
    <t>Hacer click sobre el boton "Pick image"</t>
  </si>
  <si>
    <t>Se abre un explorador de archivos.</t>
  </si>
  <si>
    <t>Se agrega una imagen a la descripcion.</t>
  </si>
  <si>
    <t>Hacer click sobre una imagen de menos de 3 mb</t>
  </si>
  <si>
    <t>La imagen se selecciona.</t>
  </si>
  <si>
    <t>Ubicar el puntero sobre el boton "Save"</t>
  </si>
  <si>
    <t>Hacer click en el boton "Save".</t>
  </si>
  <si>
    <t>Se agrega una breve descripcion del juego para que los usuarios la visualicen al ver nuestra collection.</t>
  </si>
  <si>
    <t>Fallo</t>
  </si>
  <si>
    <t>Collections - agregar descripcion del juego</t>
  </si>
  <si>
    <t>Agregar una imagen para la breve descripcion del juego en nuestra collection.</t>
  </si>
  <si>
    <t>Hacer click sobre el boton "Abrir"</t>
  </si>
  <si>
    <t>Collections - Agregar una palabra muy larga dentro de la descripcion corta</t>
  </si>
  <si>
    <t>Ubicar el puntero sobre el nombre de la collection.</t>
  </si>
  <si>
    <t>Hacer click sobre el nombre de la collection.</t>
  </si>
  <si>
    <t>Ubicar el cursor sobre el link en gris "Add a blurb".</t>
  </si>
  <si>
    <t>Nos lleva a la pagina de nuestra collection.</t>
  </si>
  <si>
    <t>Hacer click sobre el link "Add a blurb".</t>
  </si>
  <si>
    <t>Se abre un recuadro de edicion de texto.</t>
  </si>
  <si>
    <t>Se agrega un cuadro gris debajo del juego en nuestra collection con el texto dentro del cuadro</t>
  </si>
  <si>
    <t>Collection1.08.D</t>
  </si>
  <si>
    <t>Resultado Esperado</t>
  </si>
  <si>
    <t>Ingreso1.01.D</t>
  </si>
  <si>
    <t>Ingeso</t>
  </si>
  <si>
    <t>Ingresar a la pagina desde un buscador.</t>
  </si>
  <si>
    <t>Ingresar a Google.com</t>
  </si>
  <si>
    <t>Hacer click en la barra de buscador.</t>
  </si>
  <si>
    <t>Escribir "itch"</t>
  </si>
  <si>
    <t>Presionar la tecla "Enter"</t>
  </si>
  <si>
    <t>Ubicar el puntero sobre el primer link.</t>
  </si>
  <si>
    <t>Hacer click</t>
  </si>
  <si>
    <t>El texto figura en la barra del buscador.</t>
  </si>
  <si>
    <t>La pagina nos muestra resultados de nuestra busqueda.</t>
  </si>
  <si>
    <t>Ingreso en movil</t>
  </si>
  <si>
    <t>Acceso a internet.
Explorador Chrome o similar.</t>
  </si>
  <si>
    <t>Tocar la barra del buscador.</t>
  </si>
  <si>
    <t>Escribir "itch".</t>
  </si>
  <si>
    <t>Presionar el boton azul con la lupa.</t>
  </si>
  <si>
    <t>Tocar el primer link "itch.io"</t>
  </si>
  <si>
    <t>Se despliega el teclado.</t>
  </si>
  <si>
    <t>Ingreso1.02.M</t>
  </si>
  <si>
    <t>Browse1.01.D</t>
  </si>
  <si>
    <t>Buscador - Ingresar al buscador de juegos.</t>
  </si>
  <si>
    <t>Que nos muestre el buscador de juegos.</t>
  </si>
  <si>
    <t>Sin datos de entrada.</t>
  </si>
  <si>
    <t>Usuario y contraseña.</t>
  </si>
  <si>
    <t>Usuario y contraseña.
Seleccionar un juego.
Un titulo de mas de 60 caracteres.</t>
  </si>
  <si>
    <t>Usuario y contraseña.
Texto.</t>
  </si>
  <si>
    <t>Usuario y contraseña.
Texto.
Imagen de menos de 3 mb.</t>
  </si>
  <si>
    <t>Usuario y contraseña.
Seleccionar un juego.</t>
  </si>
  <si>
    <t>Nombre de la pagina.</t>
  </si>
  <si>
    <t>Ingresar a la pagina desde un buscador en el movil.</t>
  </si>
  <si>
    <t>Completar campo "Username"
y que nos indique que esta disponible.</t>
  </si>
  <si>
    <t>No completar campo "Username" y que nos indique que lo tenemos que completar.</t>
  </si>
  <si>
    <t>Ingresar diferentes contraseñas y nos notifique el error.</t>
  </si>
  <si>
    <t>Acceso a internet.
ingrear a https://itch.io/
Explorador Chrome o similar.</t>
  </si>
  <si>
    <t>Registrarse exitosamente.</t>
  </si>
  <si>
    <t>Que la palabra se divida y quede de forma estetica en el cuadro de presentacion de nuestra colección.</t>
  </si>
  <si>
    <t>Acceso a internet.
Ingresar a https://itch.io</t>
  </si>
  <si>
    <t>Ubicar el cursor sobre el boton "Browse games".</t>
  </si>
  <si>
    <t>Hacer click en el boton "Browse games".</t>
  </si>
  <si>
    <t>Nos lleva al buscador de juegos.</t>
  </si>
  <si>
    <t>Browse1.02.D</t>
  </si>
  <si>
    <t>Buscador - Buscar por "Top rated".</t>
  </si>
  <si>
    <t>Ubicar el cursor sobre el boton "Top rated".</t>
  </si>
  <si>
    <t>Hacer click en el boton "Top rated".</t>
  </si>
  <si>
    <t>Nos muestra los juegos ordenados por los mejores calificados.</t>
  </si>
  <si>
    <t>Que nos muestre los juegos ordenados por los mejor calificados.</t>
  </si>
  <si>
    <t>Browse1.03.D</t>
  </si>
  <si>
    <t>Buscador - Buscar con tag muy largo</t>
  </si>
  <si>
    <t>Que nos permita buscar con un tag de una sola palabra que no exceda el limite de caracteres.</t>
  </si>
  <si>
    <t>Texto de 30 caracteres "Aaaaaaaaaaaaaaaaaaaaaaaaaaaaaa"</t>
  </si>
  <si>
    <t>Hacer click sobre el recuadro de texto "Select a tag…"</t>
  </si>
  <si>
    <t>Escribir con el teclado "Aaaaaaaaaaaaaaaaaaaaaaaaaaaaaa".</t>
  </si>
  <si>
    <t>Que figure el texto ingresado.</t>
  </si>
  <si>
    <t>Que nos muestre los resultados con el tag correspondiente.</t>
  </si>
  <si>
    <t>Browse1.04.D</t>
  </si>
  <si>
    <t>Buscador - Buscar juegos con el tag de "Horror"</t>
  </si>
  <si>
    <t>Que nos muestre juegos con con el tag de "Horror".</t>
  </si>
  <si>
    <t>Ubicar el cursor sobre el boton "Horror".</t>
  </si>
  <si>
    <t>Hacer click en el boton "Horror".</t>
  </si>
  <si>
    <t>El cursor cambia de forma a una manito y el boton cambia de color.</t>
  </si>
  <si>
    <t>Nos muestra todos los juegos con el tag de "Horror".</t>
  </si>
  <si>
    <t>Usuario: Matiasborgogno1
Contraseña: ********
Mail: matiasborgogno01@gmail.com</t>
  </si>
  <si>
    <t>Usuario: Matiasborgogno1
contraseña: ********
Mail: matiasborgogno01@gmail.com</t>
  </si>
  <si>
    <t>Collections - Agregar a colección sin nombre</t>
  </si>
  <si>
    <t>Acceso a internet.
ingrear a https://itch.io/
Explorador Chrome o similar.
Estar loggeado.</t>
  </si>
  <si>
    <t>Acceso a internet.
ingrear a https://itch.io
Explorador Chrome o similar.
Estar loggeado.</t>
  </si>
  <si>
    <t>Acceso a internet.
Ingresar a gttps//itch.io/my-collections
Explorador Chrome o similar.
Estar loggeado.
Tener una colección creada.
Tener un juego agregado a nuestra colección.</t>
  </si>
  <si>
    <t>Acceso a internet.
ingrear a https://itch.io
Explorador Chrome o similar.
Estar loggeado.
Tener una colección creada.</t>
  </si>
  <si>
    <t>Ingresar a https://itch.io</t>
  </si>
  <si>
    <t>Acceso a internet.
Ingresar a gttps//itch.io/my-collections
Explorador Chrome o similar.
Estar loggeado.
Tener una colección creada.</t>
  </si>
  <si>
    <t>Acceso a internet.
ingrear a https://itch.io/
Explorador Chrome o similar.
Estar loggeado.
Tener una colección creada.</t>
  </si>
  <si>
    <t>Acceso a internet.
Ingresar a https//itch.io
Explorador Chrome o similar.
Estar loggeado.
Tener una colección creada.
Tener un juego agregado a nuestra colección.</t>
  </si>
  <si>
    <t>Ubicar el puntero sobre el hipervinculo "Delete" de una colección.</t>
  </si>
  <si>
    <t>Tipo de pruebas</t>
  </si>
  <si>
    <t>Cantidad de casos</t>
  </si>
  <si>
    <t>Resultado</t>
  </si>
  <si>
    <t>Resultado del CP</t>
  </si>
  <si>
    <t>OK</t>
  </si>
  <si>
    <t>FALLO</t>
  </si>
  <si>
    <t>Alta-Positiva</t>
  </si>
  <si>
    <t>Alta-Negativa</t>
  </si>
  <si>
    <t>Media-Positiva</t>
  </si>
  <si>
    <t>Media-Negativa</t>
  </si>
  <si>
    <t>Baja-Positiva</t>
  </si>
  <si>
    <t>Baja-negativa</t>
  </si>
  <si>
    <t>Escribir con el teclado "aaaaaaaaaaaaaaaaaaaaaaaaaaaaa​"</t>
  </si>
  <si>
    <t>Ubicar el cursor sobre el icono agregar imagen (el recuadro negro con dos triángulos y un circulo blanco).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</si>
</sst>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2"/>
      <color theme="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theme="0" tint="-4.9989318521683403E-2"/>
        <bgColor rgb="FFE2EFDA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rgb="FFE2EFDA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E2EFDA"/>
      </patternFill>
    </fill>
    <fill>
      <patternFill patternType="solid">
        <fgColor theme="9" tint="0.79998168889431442"/>
        <bgColor rgb="FFEDEDED"/>
      </patternFill>
    </fill>
    <fill>
      <patternFill patternType="solid">
        <fgColor theme="9" tint="0.79998168889431442"/>
        <bgColor rgb="FFFF0000"/>
      </patternFill>
    </fill>
  </fills>
  <borders count="9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82">
    <xf numFmtId="0" fontId="0" fillId="0" borderId="0" xfId="0" applyFont="1" applyAlignment="1"/>
    <xf numFmtId="0" fontId="5" fillId="0" borderId="0" xfId="0" applyFont="1" applyAlignment="1"/>
    <xf numFmtId="0" fontId="5" fillId="3" borderId="10" xfId="0" applyFont="1" applyFill="1" applyBorder="1" applyAlignment="1">
      <alignment vertical="center" wrapText="1"/>
    </xf>
    <xf numFmtId="0" fontId="5" fillId="4" borderId="26" xfId="0" applyFont="1" applyFill="1" applyBorder="1" applyAlignment="1">
      <alignment vertical="center" wrapText="1"/>
    </xf>
    <xf numFmtId="0" fontId="5" fillId="4" borderId="25" xfId="0" applyFont="1" applyFill="1" applyBorder="1" applyAlignment="1">
      <alignment vertical="center" wrapText="1"/>
    </xf>
    <xf numFmtId="0" fontId="10" fillId="3" borderId="8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1" fillId="4" borderId="11" xfId="0" applyFont="1" applyFill="1" applyBorder="1" applyAlignment="1">
      <alignment vertical="center" wrapText="1"/>
    </xf>
    <xf numFmtId="0" fontId="10" fillId="3" borderId="9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vertical="center" wrapText="1"/>
    </xf>
    <xf numFmtId="0" fontId="10" fillId="3" borderId="10" xfId="0" applyFont="1" applyFill="1" applyBorder="1" applyAlignment="1">
      <alignment vertical="center" wrapText="1"/>
    </xf>
    <xf numFmtId="0" fontId="5" fillId="3" borderId="3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30" xfId="0" applyFont="1" applyFill="1" applyBorder="1" applyAlignment="1">
      <alignment vertical="center" wrapText="1"/>
    </xf>
    <xf numFmtId="0" fontId="5" fillId="4" borderId="31" xfId="0" applyFont="1" applyFill="1" applyBorder="1" applyAlignment="1">
      <alignment vertical="center" wrapText="1"/>
    </xf>
    <xf numFmtId="0" fontId="5" fillId="4" borderId="32" xfId="0" applyFont="1" applyFill="1" applyBorder="1" applyAlignment="1">
      <alignment vertical="center" wrapText="1"/>
    </xf>
    <xf numFmtId="0" fontId="0" fillId="0" borderId="7" xfId="0" applyFont="1" applyBorder="1" applyAlignment="1"/>
    <xf numFmtId="0" fontId="5" fillId="3" borderId="33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31" xfId="0" applyFont="1" applyFill="1" applyBorder="1" applyAlignment="1">
      <alignment horizontal="center" vertical="center"/>
    </xf>
    <xf numFmtId="0" fontId="5" fillId="4" borderId="32" xfId="0" applyFont="1" applyFill="1" applyBorder="1" applyAlignment="1">
      <alignment horizontal="center" vertical="center"/>
    </xf>
    <xf numFmtId="0" fontId="5" fillId="3" borderId="38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vertical="center" wrapText="1"/>
    </xf>
    <xf numFmtId="0" fontId="11" fillId="4" borderId="43" xfId="0" applyFont="1" applyFill="1" applyBorder="1" applyAlignment="1">
      <alignment vertical="center" wrapText="1"/>
    </xf>
    <xf numFmtId="0" fontId="11" fillId="3" borderId="19" xfId="0" applyFont="1" applyFill="1" applyBorder="1" applyAlignment="1">
      <alignment vertical="center" wrapText="1"/>
    </xf>
    <xf numFmtId="0" fontId="11" fillId="3" borderId="22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2" borderId="57" xfId="0" applyFont="1" applyFill="1" applyBorder="1" applyAlignment="1">
      <alignment horizontal="center" vertical="center"/>
    </xf>
    <xf numFmtId="0" fontId="6" fillId="2" borderId="56" xfId="0" applyFont="1" applyFill="1" applyBorder="1" applyAlignment="1">
      <alignment horizontal="center"/>
    </xf>
    <xf numFmtId="0" fontId="10" fillId="4" borderId="26" xfId="0" applyFont="1" applyFill="1" applyBorder="1" applyAlignment="1">
      <alignment vertical="center" wrapText="1"/>
    </xf>
    <xf numFmtId="0" fontId="10" fillId="4" borderId="30" xfId="0" applyFont="1" applyFill="1" applyBorder="1" applyAlignment="1">
      <alignment horizontal="center" vertical="center"/>
    </xf>
    <xf numFmtId="0" fontId="10" fillId="4" borderId="31" xfId="0" applyFont="1" applyFill="1" applyBorder="1" applyAlignment="1">
      <alignment horizontal="center" vertical="center"/>
    </xf>
    <xf numFmtId="0" fontId="10" fillId="8" borderId="31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1" fillId="6" borderId="8" xfId="0" applyFont="1" applyFill="1" applyBorder="1" applyAlignment="1">
      <alignment vertical="center" wrapText="1"/>
    </xf>
    <xf numFmtId="0" fontId="10" fillId="6" borderId="26" xfId="0" applyFont="1" applyFill="1" applyBorder="1" applyAlignment="1">
      <alignment vertical="center" wrapText="1"/>
    </xf>
    <xf numFmtId="0" fontId="11" fillId="6" borderId="43" xfId="0" applyFont="1" applyFill="1" applyBorder="1" applyAlignment="1">
      <alignment vertical="center" wrapText="1"/>
    </xf>
    <xf numFmtId="0" fontId="10" fillId="6" borderId="30" xfId="0" applyFont="1" applyFill="1" applyBorder="1" applyAlignment="1">
      <alignment horizontal="center" vertical="center"/>
    </xf>
    <xf numFmtId="0" fontId="10" fillId="6" borderId="31" xfId="0" applyFont="1" applyFill="1" applyBorder="1" applyAlignment="1">
      <alignment horizontal="center" vertical="center"/>
    </xf>
    <xf numFmtId="0" fontId="5" fillId="6" borderId="38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/>
    </xf>
    <xf numFmtId="0" fontId="5" fillId="6" borderId="26" xfId="0" applyFont="1" applyFill="1" applyBorder="1" applyAlignment="1">
      <alignment vertical="center" wrapText="1"/>
    </xf>
    <xf numFmtId="0" fontId="5" fillId="6" borderId="30" xfId="0" applyFont="1" applyFill="1" applyBorder="1" applyAlignment="1">
      <alignment horizontal="center" vertical="center"/>
    </xf>
    <xf numFmtId="0" fontId="5" fillId="6" borderId="31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vertical="center" wrapText="1"/>
    </xf>
    <xf numFmtId="0" fontId="5" fillId="6" borderId="25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vertical="center" wrapText="1"/>
    </xf>
    <xf numFmtId="0" fontId="5" fillId="6" borderId="21" xfId="0" applyFont="1" applyFill="1" applyBorder="1" applyAlignment="1">
      <alignment vertical="center" wrapText="1"/>
    </xf>
    <xf numFmtId="0" fontId="5" fillId="6" borderId="33" xfId="0" applyFont="1" applyFill="1" applyBorder="1" applyAlignment="1">
      <alignment horizontal="center" vertical="center"/>
    </xf>
    <xf numFmtId="0" fontId="5" fillId="4" borderId="38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wrapText="1"/>
    </xf>
    <xf numFmtId="0" fontId="5" fillId="10" borderId="32" xfId="0" applyFont="1" applyFill="1" applyBorder="1" applyAlignment="1">
      <alignment wrapText="1"/>
    </xf>
    <xf numFmtId="0" fontId="5" fillId="11" borderId="32" xfId="0" applyFont="1" applyFill="1" applyBorder="1" applyAlignment="1">
      <alignment horizontal="center" vertical="center"/>
    </xf>
    <xf numFmtId="0" fontId="11" fillId="4" borderId="77" xfId="0" applyFont="1" applyFill="1" applyBorder="1" applyAlignment="1">
      <alignment vertical="center" wrapText="1"/>
    </xf>
    <xf numFmtId="0" fontId="5" fillId="4" borderId="71" xfId="0" applyFont="1" applyFill="1" applyBorder="1" applyAlignment="1">
      <alignment vertical="center" wrapText="1"/>
    </xf>
    <xf numFmtId="0" fontId="5" fillId="4" borderId="84" xfId="0" applyFont="1" applyFill="1" applyBorder="1" applyAlignment="1">
      <alignment horizontal="center" vertical="center" wrapText="1"/>
    </xf>
    <xf numFmtId="0" fontId="11" fillId="4" borderId="34" xfId="0" applyFont="1" applyFill="1" applyBorder="1" applyAlignment="1">
      <alignment vertical="center" wrapText="1"/>
    </xf>
    <xf numFmtId="0" fontId="5" fillId="4" borderId="72" xfId="0" applyFont="1" applyFill="1" applyBorder="1" applyAlignment="1">
      <alignment vertical="center" wrapText="1"/>
    </xf>
    <xf numFmtId="0" fontId="5" fillId="4" borderId="85" xfId="0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vertical="center" wrapText="1"/>
    </xf>
    <xf numFmtId="0" fontId="5" fillId="4" borderId="73" xfId="0" applyFont="1" applyFill="1" applyBorder="1" applyAlignment="1">
      <alignment vertical="center" wrapText="1"/>
    </xf>
    <xf numFmtId="0" fontId="5" fillId="4" borderId="86" xfId="0" applyFont="1" applyFill="1" applyBorder="1" applyAlignment="1">
      <alignment horizontal="center" vertical="center" wrapText="1"/>
    </xf>
    <xf numFmtId="0" fontId="11" fillId="4" borderId="8" xfId="0" applyFont="1" applyFill="1" applyBorder="1" applyAlignment="1">
      <alignment vertical="center"/>
    </xf>
    <xf numFmtId="0" fontId="5" fillId="4" borderId="33" xfId="0" applyFont="1" applyFill="1" applyBorder="1" applyAlignment="1">
      <alignment horizontal="center" vertical="center"/>
    </xf>
    <xf numFmtId="0" fontId="11" fillId="4" borderId="61" xfId="0" applyFont="1" applyFill="1" applyBorder="1" applyAlignment="1">
      <alignment vertical="center" wrapText="1"/>
    </xf>
    <xf numFmtId="0" fontId="11" fillId="4" borderId="19" xfId="0" applyFont="1" applyFill="1" applyBorder="1" applyAlignment="1">
      <alignment vertical="center" wrapText="1"/>
    </xf>
    <xf numFmtId="0" fontId="11" fillId="4" borderId="51" xfId="0" applyFont="1" applyFill="1" applyBorder="1" applyAlignment="1">
      <alignment vertical="center" wrapText="1"/>
    </xf>
    <xf numFmtId="0" fontId="11" fillId="4" borderId="72" xfId="0" applyFont="1" applyFill="1" applyBorder="1" applyAlignment="1">
      <alignment vertical="center" wrapText="1"/>
    </xf>
    <xf numFmtId="0" fontId="11" fillId="4" borderId="73" xfId="0" applyFont="1" applyFill="1" applyBorder="1" applyAlignment="1">
      <alignment vertical="center" wrapText="1"/>
    </xf>
    <xf numFmtId="0" fontId="11" fillId="4" borderId="71" xfId="0" applyFont="1" applyFill="1" applyBorder="1" applyAlignment="1">
      <alignment vertical="center" wrapText="1"/>
    </xf>
    <xf numFmtId="0" fontId="8" fillId="0" borderId="7" xfId="0" applyFont="1" applyBorder="1" applyAlignment="1">
      <alignment wrapText="1"/>
    </xf>
    <xf numFmtId="0" fontId="0" fillId="0" borderId="7" xfId="0" applyFont="1" applyBorder="1" applyAlignment="1">
      <alignment horizontal="center" vertical="center"/>
    </xf>
    <xf numFmtId="0" fontId="6" fillId="2" borderId="90" xfId="0" applyFont="1" applyFill="1" applyBorder="1" applyAlignment="1">
      <alignment horizontal="center" vertical="center" wrapText="1"/>
    </xf>
    <xf numFmtId="0" fontId="6" fillId="2" borderId="91" xfId="0" applyFont="1" applyFill="1" applyBorder="1" applyAlignment="1">
      <alignment horizontal="center" vertical="center" wrapText="1"/>
    </xf>
    <xf numFmtId="0" fontId="6" fillId="2" borderId="91" xfId="0" applyFont="1" applyFill="1" applyBorder="1" applyAlignment="1">
      <alignment horizontal="center" vertical="center"/>
    </xf>
    <xf numFmtId="0" fontId="6" fillId="2" borderId="92" xfId="0" applyFont="1" applyFill="1" applyBorder="1" applyAlignment="1">
      <alignment horizontal="center" vertical="center"/>
    </xf>
    <xf numFmtId="0" fontId="6" fillId="2" borderId="93" xfId="0" applyFont="1" applyFill="1" applyBorder="1" applyAlignment="1">
      <alignment horizontal="center" vertical="center"/>
    </xf>
    <xf numFmtId="0" fontId="6" fillId="2" borderId="94" xfId="0" applyFont="1" applyFill="1" applyBorder="1" applyAlignment="1">
      <alignment horizontal="center" vertical="center"/>
    </xf>
    <xf numFmtId="0" fontId="6" fillId="2" borderId="57" xfId="0" applyFont="1" applyFill="1" applyBorder="1" applyAlignment="1">
      <alignment horizontal="center"/>
    </xf>
    <xf numFmtId="0" fontId="5" fillId="4" borderId="89" xfId="0" applyFont="1" applyFill="1" applyBorder="1" applyAlignment="1">
      <alignment horizontal="center" vertical="center" wrapText="1"/>
    </xf>
    <xf numFmtId="0" fontId="5" fillId="4" borderId="72" xfId="0" applyFont="1" applyFill="1" applyBorder="1" applyAlignment="1">
      <alignment horizontal="center" vertical="center" wrapText="1"/>
    </xf>
    <xf numFmtId="0" fontId="5" fillId="9" borderId="3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 wrapText="1"/>
    </xf>
    <xf numFmtId="0" fontId="5" fillId="4" borderId="38" xfId="0" applyFont="1" applyFill="1" applyBorder="1" applyAlignment="1">
      <alignment horizontal="center" vertical="center" wrapText="1"/>
    </xf>
    <xf numFmtId="0" fontId="5" fillId="4" borderId="60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24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5" fillId="6" borderId="23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4" borderId="77" xfId="0" applyFont="1" applyFill="1" applyBorder="1" applyAlignment="1">
      <alignment horizontal="center" vertical="center"/>
    </xf>
    <xf numFmtId="0" fontId="5" fillId="4" borderId="71" xfId="0" applyFont="1" applyFill="1" applyBorder="1" applyAlignment="1">
      <alignment horizontal="center" vertical="center" wrapText="1"/>
    </xf>
    <xf numFmtId="0" fontId="5" fillId="4" borderId="31" xfId="0" applyFont="1" applyFill="1" applyBorder="1" applyAlignment="1">
      <alignment horizontal="center" vertical="center" wrapText="1"/>
    </xf>
    <xf numFmtId="0" fontId="5" fillId="4" borderId="73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/>
    </xf>
    <xf numFmtId="0" fontId="5" fillId="6" borderId="71" xfId="0" applyFont="1" applyFill="1" applyBorder="1" applyAlignment="1">
      <alignment horizontal="center" vertical="center" wrapText="1"/>
    </xf>
    <xf numFmtId="0" fontId="11" fillId="6" borderId="71" xfId="0" applyFont="1" applyFill="1" applyBorder="1" applyAlignment="1">
      <alignment vertical="center" wrapText="1"/>
    </xf>
    <xf numFmtId="0" fontId="5" fillId="6" borderId="30" xfId="0" applyFont="1" applyFill="1" applyBorder="1" applyAlignment="1">
      <alignment vertical="center" wrapText="1"/>
    </xf>
    <xf numFmtId="0" fontId="5" fillId="6" borderId="72" xfId="0" applyFont="1" applyFill="1" applyBorder="1" applyAlignment="1">
      <alignment horizontal="center" vertical="center" wrapText="1"/>
    </xf>
    <xf numFmtId="0" fontId="11" fillId="6" borderId="72" xfId="0" applyFont="1" applyFill="1" applyBorder="1" applyAlignment="1">
      <alignment vertical="center" wrapText="1"/>
    </xf>
    <xf numFmtId="0" fontId="5" fillId="6" borderId="31" xfId="0" applyFont="1" applyFill="1" applyBorder="1" applyAlignment="1">
      <alignment vertical="center" wrapText="1"/>
    </xf>
    <xf numFmtId="0" fontId="5" fillId="6" borderId="89" xfId="0" applyFont="1" applyFill="1" applyBorder="1" applyAlignment="1">
      <alignment horizontal="center" vertical="center" wrapText="1"/>
    </xf>
    <xf numFmtId="0" fontId="11" fillId="6" borderId="73" xfId="0" applyFont="1" applyFill="1" applyBorder="1" applyAlignment="1">
      <alignment vertical="center" wrapText="1"/>
    </xf>
    <xf numFmtId="0" fontId="5" fillId="6" borderId="32" xfId="0" applyFont="1" applyFill="1" applyBorder="1" applyAlignment="1">
      <alignment vertical="center" wrapText="1"/>
    </xf>
    <xf numFmtId="0" fontId="5" fillId="10" borderId="30" xfId="0" applyFont="1" applyFill="1" applyBorder="1" applyAlignment="1">
      <alignment horizontal="center" vertical="center"/>
    </xf>
    <xf numFmtId="0" fontId="11" fillId="10" borderId="77" xfId="0" applyFont="1" applyFill="1" applyBorder="1" applyAlignment="1">
      <alignment vertical="center" wrapText="1"/>
    </xf>
    <xf numFmtId="0" fontId="10" fillId="10" borderId="38" xfId="0" applyFont="1" applyFill="1" applyBorder="1" applyAlignment="1">
      <alignment wrapText="1"/>
    </xf>
    <xf numFmtId="0" fontId="5" fillId="10" borderId="31" xfId="0" applyFont="1" applyFill="1" applyBorder="1" applyAlignment="1">
      <alignment horizontal="center" vertical="center"/>
    </xf>
    <xf numFmtId="0" fontId="10" fillId="10" borderId="34" xfId="0" applyFont="1" applyFill="1" applyBorder="1" applyAlignment="1">
      <alignment vertical="center" wrapText="1"/>
    </xf>
    <xf numFmtId="0" fontId="10" fillId="10" borderId="31" xfId="0" applyFont="1" applyFill="1" applyBorder="1" applyAlignment="1">
      <alignment wrapText="1"/>
    </xf>
    <xf numFmtId="0" fontId="5" fillId="10" borderId="34" xfId="0" applyFont="1" applyFill="1" applyBorder="1" applyAlignment="1">
      <alignment vertical="center" wrapText="1"/>
    </xf>
    <xf numFmtId="0" fontId="5" fillId="10" borderId="32" xfId="0" applyFont="1" applyFill="1" applyBorder="1" applyAlignment="1">
      <alignment horizontal="center" vertical="center"/>
    </xf>
    <xf numFmtId="0" fontId="5" fillId="10" borderId="37" xfId="0" applyFont="1" applyFill="1" applyBorder="1" applyAlignment="1">
      <alignment vertical="center" wrapText="1"/>
    </xf>
    <xf numFmtId="0" fontId="11" fillId="6" borderId="39" xfId="0" applyFont="1" applyFill="1" applyBorder="1" applyAlignment="1">
      <alignment vertical="center" wrapText="1"/>
    </xf>
    <xf numFmtId="0" fontId="11" fillId="6" borderId="40" xfId="0" applyFont="1" applyFill="1" applyBorder="1" applyAlignment="1">
      <alignment vertical="center" wrapText="1"/>
    </xf>
    <xf numFmtId="0" fontId="5" fillId="6" borderId="31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11" fillId="6" borderId="41" xfId="0" applyFont="1" applyFill="1" applyBorder="1" applyAlignment="1">
      <alignment vertical="center" wrapText="1"/>
    </xf>
    <xf numFmtId="0" fontId="5" fillId="6" borderId="34" xfId="0" applyFont="1" applyFill="1" applyBorder="1" applyAlignment="1">
      <alignment horizontal="center" vertical="center"/>
    </xf>
    <xf numFmtId="0" fontId="11" fillId="6" borderId="46" xfId="0" applyFont="1" applyFill="1" applyBorder="1" applyAlignment="1">
      <alignment vertical="center" wrapText="1"/>
    </xf>
    <xf numFmtId="0" fontId="5" fillId="6" borderId="44" xfId="0" applyFont="1" applyFill="1" applyBorder="1" applyAlignment="1">
      <alignment vertical="center" wrapText="1"/>
    </xf>
    <xf numFmtId="0" fontId="5" fillId="6" borderId="43" xfId="0" applyFont="1" applyFill="1" applyBorder="1" applyAlignment="1">
      <alignment horizontal="center"/>
    </xf>
    <xf numFmtId="0" fontId="11" fillId="6" borderId="45" xfId="0" applyFont="1" applyFill="1" applyBorder="1" applyAlignment="1">
      <alignment vertical="center" wrapText="1"/>
    </xf>
    <xf numFmtId="0" fontId="5" fillId="6" borderId="7" xfId="0" applyFont="1" applyFill="1" applyBorder="1" applyAlignment="1">
      <alignment horizontal="center"/>
    </xf>
    <xf numFmtId="0" fontId="5" fillId="6" borderId="50" xfId="0" applyFont="1" applyFill="1" applyBorder="1" applyAlignment="1">
      <alignment horizontal="center" vertical="center"/>
    </xf>
    <xf numFmtId="0" fontId="5" fillId="6" borderId="48" xfId="0" applyFont="1" applyFill="1" applyBorder="1" applyAlignment="1">
      <alignment vertical="center" wrapText="1"/>
    </xf>
    <xf numFmtId="0" fontId="11" fillId="6" borderId="47" xfId="0" applyFont="1" applyFill="1" applyBorder="1" applyAlignment="1">
      <alignment vertical="center" wrapText="1"/>
    </xf>
    <xf numFmtId="0" fontId="5" fillId="6" borderId="49" xfId="0" applyFont="1" applyFill="1" applyBorder="1" applyAlignment="1">
      <alignment vertical="center" wrapText="1"/>
    </xf>
    <xf numFmtId="0" fontId="11" fillId="6" borderId="62" xfId="0" applyFont="1" applyFill="1" applyBorder="1" applyAlignment="1">
      <alignment vertical="center" wrapText="1"/>
    </xf>
    <xf numFmtId="0" fontId="10" fillId="6" borderId="63" xfId="0" applyFont="1" applyFill="1" applyBorder="1" applyAlignment="1">
      <alignment vertical="center" wrapText="1"/>
    </xf>
    <xf numFmtId="0" fontId="5" fillId="6" borderId="88" xfId="0" applyFont="1" applyFill="1" applyBorder="1" applyAlignment="1">
      <alignment horizontal="center" vertical="center" wrapText="1"/>
    </xf>
    <xf numFmtId="0" fontId="11" fillId="6" borderId="88" xfId="0" applyFont="1" applyFill="1" applyBorder="1" applyAlignment="1">
      <alignment vertical="center" wrapText="1"/>
    </xf>
    <xf numFmtId="0" fontId="5" fillId="6" borderId="33" xfId="0" applyFont="1" applyFill="1" applyBorder="1" applyAlignment="1">
      <alignment vertical="center" wrapText="1"/>
    </xf>
    <xf numFmtId="0" fontId="11" fillId="6" borderId="89" xfId="0" applyFont="1" applyFill="1" applyBorder="1" applyAlignment="1">
      <alignment vertical="center" wrapText="1"/>
    </xf>
    <xf numFmtId="0" fontId="5" fillId="6" borderId="38" xfId="0" applyFont="1" applyFill="1" applyBorder="1" applyAlignment="1">
      <alignment vertical="center" wrapText="1"/>
    </xf>
    <xf numFmtId="0" fontId="5" fillId="6" borderId="73" xfId="0" applyFont="1" applyFill="1" applyBorder="1" applyAlignment="1">
      <alignment vertical="center" wrapText="1"/>
    </xf>
    <xf numFmtId="0" fontId="5" fillId="4" borderId="18" xfId="0" applyFont="1" applyFill="1" applyBorder="1" applyAlignment="1">
      <alignment horizontal="center"/>
    </xf>
    <xf numFmtId="0" fontId="10" fillId="5" borderId="31" xfId="0" applyFont="1" applyFill="1" applyBorder="1" applyAlignment="1">
      <alignment horizontal="center" vertical="center"/>
    </xf>
    <xf numFmtId="0" fontId="10" fillId="4" borderId="25" xfId="0" applyFont="1" applyFill="1" applyBorder="1" applyAlignment="1">
      <alignment vertical="center" wrapText="1"/>
    </xf>
    <xf numFmtId="0" fontId="5" fillId="4" borderId="52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vertical="center" wrapText="1"/>
    </xf>
    <xf numFmtId="0" fontId="5" fillId="4" borderId="53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vertical="center" wrapText="1"/>
    </xf>
    <xf numFmtId="0" fontId="10" fillId="4" borderId="8" xfId="0" applyFont="1" applyFill="1" applyBorder="1" applyAlignment="1">
      <alignment vertical="center" wrapText="1"/>
    </xf>
    <xf numFmtId="0" fontId="10" fillId="4" borderId="9" xfId="0" applyFont="1" applyFill="1" applyBorder="1" applyAlignment="1">
      <alignment horizontal="left" vertical="center" wrapText="1"/>
    </xf>
    <xf numFmtId="0" fontId="10" fillId="4" borderId="9" xfId="0" applyFont="1" applyFill="1" applyBorder="1" applyAlignment="1">
      <alignment vertical="center" wrapText="1"/>
    </xf>
    <xf numFmtId="0" fontId="10" fillId="4" borderId="10" xfId="0" applyFont="1" applyFill="1" applyBorder="1" applyAlignment="1">
      <alignment vertical="center" wrapText="1"/>
    </xf>
    <xf numFmtId="0" fontId="11" fillId="4" borderId="22" xfId="0" applyFont="1" applyFill="1" applyBorder="1" applyAlignment="1">
      <alignment vertical="center" wrapText="1"/>
    </xf>
    <xf numFmtId="0" fontId="5" fillId="4" borderId="16" xfId="0" applyFont="1" applyFill="1" applyBorder="1" applyAlignment="1">
      <alignment vertical="center" wrapText="1"/>
    </xf>
    <xf numFmtId="0" fontId="2" fillId="0" borderId="67" xfId="0" applyFont="1" applyBorder="1" applyAlignment="1"/>
    <xf numFmtId="0" fontId="2" fillId="0" borderId="69" xfId="0" applyFont="1" applyBorder="1" applyAlignment="1"/>
    <xf numFmtId="0" fontId="0" fillId="0" borderId="65" xfId="0" applyFont="1" applyBorder="1" applyAlignment="1"/>
    <xf numFmtId="0" fontId="0" fillId="0" borderId="69" xfId="0" applyFont="1" applyBorder="1" applyAlignment="1"/>
    <xf numFmtId="0" fontId="0" fillId="0" borderId="68" xfId="0" applyFont="1" applyBorder="1" applyAlignment="1">
      <alignment horizontal="center"/>
    </xf>
    <xf numFmtId="0" fontId="0" fillId="0" borderId="70" xfId="0" applyFont="1" applyBorder="1" applyAlignment="1">
      <alignment horizontal="center"/>
    </xf>
    <xf numFmtId="0" fontId="0" fillId="0" borderId="66" xfId="0" applyFont="1" applyBorder="1" applyAlignment="1">
      <alignment horizontal="center"/>
    </xf>
    <xf numFmtId="0" fontId="0" fillId="0" borderId="58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2" fillId="0" borderId="58" xfId="0" applyFont="1" applyBorder="1" applyAlignment="1">
      <alignment horizontal="center"/>
    </xf>
    <xf numFmtId="0" fontId="2" fillId="0" borderId="65" xfId="0" applyFont="1" applyBorder="1" applyAlignment="1"/>
    <xf numFmtId="0" fontId="6" fillId="2" borderId="56" xfId="0" applyFont="1" applyFill="1" applyBorder="1" applyAlignment="1">
      <alignment horizontal="center" vertical="center"/>
    </xf>
    <xf numFmtId="0" fontId="1" fillId="0" borderId="42" xfId="0" applyFont="1" applyFill="1" applyBorder="1" applyAlignment="1">
      <alignment horizontal="center"/>
    </xf>
    <xf numFmtId="0" fontId="1" fillId="0" borderId="90" xfId="0" applyFont="1" applyFill="1" applyBorder="1" applyAlignment="1">
      <alignment horizontal="center"/>
    </xf>
    <xf numFmtId="0" fontId="1" fillId="0" borderId="56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95" xfId="0" applyFont="1" applyBorder="1" applyAlignment="1">
      <alignment horizontal="center"/>
    </xf>
    <xf numFmtId="0" fontId="0" fillId="0" borderId="96" xfId="0" applyFont="1" applyBorder="1" applyAlignment="1">
      <alignment horizontal="center"/>
    </xf>
    <xf numFmtId="0" fontId="0" fillId="0" borderId="97" xfId="0" applyFont="1" applyBorder="1" applyAlignment="1">
      <alignment horizontal="center"/>
    </xf>
    <xf numFmtId="0" fontId="5" fillId="4" borderId="58" xfId="0" applyFont="1" applyFill="1" applyBorder="1" applyAlignment="1">
      <alignment horizontal="center" vertical="center" wrapText="1"/>
    </xf>
    <xf numFmtId="0" fontId="5" fillId="4" borderId="59" xfId="0" applyFont="1" applyFill="1" applyBorder="1" applyAlignment="1">
      <alignment horizontal="center" vertical="center" wrapText="1"/>
    </xf>
    <xf numFmtId="0" fontId="5" fillId="4" borderId="60" xfId="0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/>
    </xf>
    <xf numFmtId="0" fontId="10" fillId="9" borderId="58" xfId="0" applyFont="1" applyFill="1" applyBorder="1" applyAlignment="1">
      <alignment horizontal="center" vertical="center"/>
    </xf>
    <xf numFmtId="0" fontId="10" fillId="9" borderId="59" xfId="0" applyFont="1" applyFill="1" applyBorder="1" applyAlignment="1">
      <alignment horizontal="center" vertical="center"/>
    </xf>
    <xf numFmtId="0" fontId="10" fillId="9" borderId="60" xfId="0" applyFont="1" applyFill="1" applyBorder="1" applyAlignment="1">
      <alignment horizontal="center" vertical="center"/>
    </xf>
    <xf numFmtId="0" fontId="5" fillId="4" borderId="58" xfId="0" applyFont="1" applyFill="1" applyBorder="1" applyAlignment="1">
      <alignment horizontal="center" vertical="center"/>
    </xf>
    <xf numFmtId="0" fontId="5" fillId="4" borderId="59" xfId="0" applyFont="1" applyFill="1" applyBorder="1" applyAlignment="1">
      <alignment horizontal="center" vertical="center"/>
    </xf>
    <xf numFmtId="0" fontId="5" fillId="4" borderId="60" xfId="0" applyFont="1" applyFill="1" applyBorder="1" applyAlignment="1">
      <alignment horizontal="center" vertical="center"/>
    </xf>
    <xf numFmtId="0" fontId="5" fillId="6" borderId="64" xfId="0" applyFont="1" applyFill="1" applyBorder="1" applyAlignment="1">
      <alignment horizontal="center" vertical="center"/>
    </xf>
    <xf numFmtId="0" fontId="5" fillId="6" borderId="87" xfId="0" applyFont="1" applyFill="1" applyBorder="1" applyAlignment="1">
      <alignment horizontal="center" vertical="center"/>
    </xf>
    <xf numFmtId="0" fontId="5" fillId="6" borderId="86" xfId="0" applyFont="1" applyFill="1" applyBorder="1" applyAlignment="1">
      <alignment horizontal="center" vertical="center"/>
    </xf>
    <xf numFmtId="0" fontId="5" fillId="6" borderId="58" xfId="0" applyFont="1" applyFill="1" applyBorder="1" applyAlignment="1">
      <alignment horizontal="center" vertical="center"/>
    </xf>
    <xf numFmtId="0" fontId="5" fillId="6" borderId="59" xfId="0" applyFont="1" applyFill="1" applyBorder="1" applyAlignment="1">
      <alignment horizontal="center" vertical="center"/>
    </xf>
    <xf numFmtId="0" fontId="5" fillId="6" borderId="60" xfId="0" applyFont="1" applyFill="1" applyBorder="1" applyAlignment="1">
      <alignment horizontal="center" vertical="center"/>
    </xf>
    <xf numFmtId="0" fontId="5" fillId="10" borderId="58" xfId="0" applyFont="1" applyFill="1" applyBorder="1" applyAlignment="1">
      <alignment horizontal="center" vertical="center"/>
    </xf>
    <xf numFmtId="0" fontId="5" fillId="10" borderId="59" xfId="0" applyFont="1" applyFill="1" applyBorder="1" applyAlignment="1">
      <alignment horizontal="center" vertical="center"/>
    </xf>
    <xf numFmtId="0" fontId="5" fillId="10" borderId="60" xfId="0" applyFont="1" applyFill="1" applyBorder="1" applyAlignment="1">
      <alignment horizontal="center" vertical="center"/>
    </xf>
    <xf numFmtId="0" fontId="5" fillId="9" borderId="58" xfId="0" applyFont="1" applyFill="1" applyBorder="1" applyAlignment="1">
      <alignment horizontal="center" vertical="center"/>
    </xf>
    <xf numFmtId="0" fontId="5" fillId="9" borderId="59" xfId="0" applyFont="1" applyFill="1" applyBorder="1" applyAlignment="1">
      <alignment horizontal="center" vertical="center"/>
    </xf>
    <xf numFmtId="0" fontId="5" fillId="9" borderId="60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7" fillId="7" borderId="1" xfId="0" applyFont="1" applyFill="1" applyBorder="1"/>
    <xf numFmtId="0" fontId="10" fillId="6" borderId="3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6" borderId="27" xfId="0" applyFont="1" applyFill="1" applyBorder="1" applyAlignment="1">
      <alignment horizontal="center" vertical="center"/>
    </xf>
    <xf numFmtId="0" fontId="7" fillId="7" borderId="28" xfId="0" applyFont="1" applyFill="1" applyBorder="1"/>
    <xf numFmtId="0" fontId="5" fillId="6" borderId="3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0" fillId="4" borderId="11" xfId="0" applyFont="1" applyFill="1" applyBorder="1" applyAlignment="1">
      <alignment vertical="center" wrapText="1"/>
    </xf>
    <xf numFmtId="0" fontId="10" fillId="4" borderId="58" xfId="0" applyFont="1" applyFill="1" applyBorder="1" applyAlignment="1">
      <alignment horizontal="center" vertical="center"/>
    </xf>
    <xf numFmtId="0" fontId="10" fillId="4" borderId="59" xfId="0" applyFont="1" applyFill="1" applyBorder="1" applyAlignment="1">
      <alignment horizontal="center" vertical="center"/>
    </xf>
    <xf numFmtId="0" fontId="10" fillId="4" borderId="60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left" vertical="center" wrapText="1"/>
    </xf>
    <xf numFmtId="0" fontId="10" fillId="6" borderId="58" xfId="0" applyFont="1" applyFill="1" applyBorder="1" applyAlignment="1">
      <alignment horizontal="center" vertical="center"/>
    </xf>
    <xf numFmtId="0" fontId="10" fillId="6" borderId="59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center" vertical="center"/>
    </xf>
    <xf numFmtId="0" fontId="5" fillId="6" borderId="27" xfId="0" applyFont="1" applyFill="1" applyBorder="1" applyAlignment="1">
      <alignment horizontal="center" vertical="center"/>
    </xf>
    <xf numFmtId="0" fontId="5" fillId="6" borderId="28" xfId="0" applyFont="1" applyFill="1" applyBorder="1" applyAlignment="1">
      <alignment horizontal="center" vertical="center"/>
    </xf>
    <xf numFmtId="0" fontId="5" fillId="6" borderId="29" xfId="0" applyFont="1" applyFill="1" applyBorder="1" applyAlignment="1">
      <alignment horizontal="center" vertical="center"/>
    </xf>
    <xf numFmtId="0" fontId="10" fillId="10" borderId="76" xfId="0" applyFont="1" applyFill="1" applyBorder="1" applyAlignment="1">
      <alignment horizontal="left" vertical="center" wrapText="1"/>
    </xf>
    <xf numFmtId="0" fontId="7" fillId="7" borderId="21" xfId="0" applyFont="1" applyFill="1" applyBorder="1" applyAlignment="1">
      <alignment horizontal="left" vertical="center"/>
    </xf>
    <xf numFmtId="0" fontId="7" fillId="7" borderId="78" xfId="0" applyFont="1" applyFill="1" applyBorder="1" applyAlignment="1">
      <alignment horizontal="left" vertical="center"/>
    </xf>
    <xf numFmtId="0" fontId="5" fillId="10" borderId="7" xfId="0" applyFont="1" applyFill="1" applyBorder="1" applyAlignment="1">
      <alignment horizontal="center" vertical="center"/>
    </xf>
    <xf numFmtId="0" fontId="7" fillId="7" borderId="7" xfId="0" applyFont="1" applyFill="1" applyBorder="1"/>
    <xf numFmtId="0" fontId="7" fillId="7" borderId="37" xfId="0" applyFont="1" applyFill="1" applyBorder="1"/>
    <xf numFmtId="0" fontId="10" fillId="4" borderId="7" xfId="0" applyFont="1" applyFill="1" applyBorder="1" applyAlignment="1">
      <alignment vertical="center" wrapText="1"/>
    </xf>
    <xf numFmtId="0" fontId="7" fillId="5" borderId="7" xfId="0" applyFont="1" applyFill="1" applyBorder="1" applyAlignment="1">
      <alignment vertical="center"/>
    </xf>
    <xf numFmtId="0" fontId="10" fillId="4" borderId="21" xfId="0" applyFont="1" applyFill="1" applyBorder="1" applyAlignment="1">
      <alignment horizontal="left" vertical="center" wrapText="1"/>
    </xf>
    <xf numFmtId="0" fontId="7" fillId="5" borderId="21" xfId="0" applyFont="1" applyFill="1" applyBorder="1" applyAlignment="1">
      <alignment horizontal="left" vertical="center"/>
    </xf>
    <xf numFmtId="0" fontId="5" fillId="4" borderId="21" xfId="0" applyFont="1" applyFill="1" applyBorder="1" applyAlignment="1">
      <alignment horizontal="center" vertical="center"/>
    </xf>
    <xf numFmtId="0" fontId="7" fillId="5" borderId="21" xfId="0" applyFont="1" applyFill="1" applyBorder="1"/>
    <xf numFmtId="0" fontId="5" fillId="4" borderId="27" xfId="0" applyFont="1" applyFill="1" applyBorder="1" applyAlignment="1">
      <alignment horizontal="center" vertical="center"/>
    </xf>
    <xf numFmtId="0" fontId="7" fillId="5" borderId="28" xfId="0" applyFont="1" applyFill="1" applyBorder="1"/>
    <xf numFmtId="0" fontId="7" fillId="5" borderId="29" xfId="0" applyFont="1" applyFill="1" applyBorder="1"/>
    <xf numFmtId="0" fontId="10" fillId="6" borderId="1" xfId="0" applyFont="1" applyFill="1" applyBorder="1" applyAlignment="1">
      <alignment vertical="center" wrapText="1"/>
    </xf>
    <xf numFmtId="0" fontId="10" fillId="6" borderId="11" xfId="0" applyFont="1" applyFill="1" applyBorder="1" applyAlignment="1">
      <alignment vertical="center" wrapText="1"/>
    </xf>
    <xf numFmtId="0" fontId="5" fillId="10" borderId="27" xfId="0" applyFont="1" applyFill="1" applyBorder="1" applyAlignment="1">
      <alignment horizontal="center" vertical="center"/>
    </xf>
    <xf numFmtId="0" fontId="7" fillId="7" borderId="29" xfId="0" applyFont="1" applyFill="1" applyBorder="1"/>
    <xf numFmtId="0" fontId="5" fillId="10" borderId="74" xfId="0" applyFont="1" applyFill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/>
    </xf>
    <xf numFmtId="0" fontId="10" fillId="10" borderId="74" xfId="0" applyFont="1" applyFill="1" applyBorder="1" applyAlignment="1">
      <alignment horizontal="center" vertical="center" wrapText="1"/>
    </xf>
    <xf numFmtId="0" fontId="7" fillId="7" borderId="61" xfId="0" applyFont="1" applyFill="1" applyBorder="1" applyAlignment="1">
      <alignment horizontal="center"/>
    </xf>
    <xf numFmtId="0" fontId="10" fillId="10" borderId="75" xfId="0" applyFont="1" applyFill="1" applyBorder="1" applyAlignment="1">
      <alignment horizontal="left" vertical="center" wrapText="1"/>
    </xf>
    <xf numFmtId="0" fontId="7" fillId="7" borderId="22" xfId="0" applyFont="1" applyFill="1" applyBorder="1" applyAlignment="1">
      <alignment horizontal="left" vertical="center"/>
    </xf>
    <xf numFmtId="0" fontId="7" fillId="7" borderId="51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center" vertical="center" wrapText="1"/>
    </xf>
    <xf numFmtId="0" fontId="10" fillId="6" borderId="11" xfId="0" applyFont="1" applyFill="1" applyBorder="1" applyAlignment="1">
      <alignment horizontal="left" vertical="center" wrapText="1"/>
    </xf>
    <xf numFmtId="0" fontId="10" fillId="6" borderId="20" xfId="0" applyFont="1" applyFill="1" applyBorder="1" applyAlignment="1">
      <alignment horizontal="left" vertical="center" wrapText="1"/>
    </xf>
    <xf numFmtId="0" fontId="10" fillId="6" borderId="21" xfId="0" applyFont="1" applyFill="1" applyBorder="1" applyAlignment="1">
      <alignment horizontal="left" vertical="center" wrapText="1"/>
    </xf>
    <xf numFmtId="0" fontId="10" fillId="6" borderId="25" xfId="0" applyFont="1" applyFill="1" applyBorder="1" applyAlignment="1">
      <alignment horizontal="left" vertical="center" wrapText="1"/>
    </xf>
    <xf numFmtId="0" fontId="5" fillId="6" borderId="4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37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/>
    </xf>
    <xf numFmtId="0" fontId="10" fillId="4" borderId="20" xfId="0" applyFont="1" applyFill="1" applyBorder="1" applyAlignment="1">
      <alignment horizontal="left" vertical="center" wrapText="1"/>
    </xf>
    <xf numFmtId="0" fontId="7" fillId="5" borderId="25" xfId="0" applyFont="1" applyFill="1" applyBorder="1" applyAlignment="1">
      <alignment horizontal="left" vertical="center"/>
    </xf>
    <xf numFmtId="0" fontId="7" fillId="5" borderId="5" xfId="0" applyFont="1" applyFill="1" applyBorder="1"/>
    <xf numFmtId="0" fontId="11" fillId="4" borderId="21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/>
    </xf>
    <xf numFmtId="0" fontId="10" fillId="4" borderId="22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7" fillId="5" borderId="1" xfId="0" applyFont="1" applyFill="1" applyBorder="1"/>
    <xf numFmtId="0" fontId="7" fillId="5" borderId="11" xfId="0" applyFont="1" applyFill="1" applyBorder="1"/>
    <xf numFmtId="0" fontId="5" fillId="4" borderId="3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4" borderId="11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/>
    </xf>
    <xf numFmtId="0" fontId="7" fillId="7" borderId="11" xfId="0" applyFont="1" applyFill="1" applyBorder="1"/>
    <xf numFmtId="0" fontId="7" fillId="7" borderId="11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left" vertical="center"/>
    </xf>
    <xf numFmtId="0" fontId="5" fillId="6" borderId="11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6" borderId="11" xfId="0" applyFont="1" applyFill="1" applyBorder="1" applyAlignment="1">
      <alignment horizontal="left" vertical="center" wrapText="1"/>
    </xf>
    <xf numFmtId="0" fontId="12" fillId="10" borderId="42" xfId="1" applyFont="1" applyFill="1" applyBorder="1" applyAlignment="1">
      <alignment vertical="center" wrapText="1"/>
    </xf>
    <xf numFmtId="0" fontId="9" fillId="7" borderId="7" xfId="1" applyFill="1" applyBorder="1" applyAlignment="1">
      <alignment vertical="center" wrapText="1"/>
    </xf>
    <xf numFmtId="0" fontId="9" fillId="7" borderId="37" xfId="1" applyFill="1" applyBorder="1" applyAlignment="1">
      <alignment vertical="center" wrapText="1"/>
    </xf>
    <xf numFmtId="0" fontId="10" fillId="3" borderId="21" xfId="0" applyFont="1" applyFill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/>
    </xf>
    <xf numFmtId="0" fontId="5" fillId="3" borderId="21" xfId="0" applyFont="1" applyFill="1" applyBorder="1" applyAlignment="1">
      <alignment horizontal="center" vertical="center"/>
    </xf>
    <xf numFmtId="0" fontId="7" fillId="0" borderId="21" xfId="0" applyFont="1" applyBorder="1"/>
    <xf numFmtId="0" fontId="7" fillId="5" borderId="80" xfId="0" applyFont="1" applyFill="1" applyBorder="1" applyAlignment="1">
      <alignment horizontal="center" vertical="center" wrapText="1"/>
    </xf>
    <xf numFmtId="0" fontId="7" fillId="5" borderId="82" xfId="0" applyFont="1" applyFill="1" applyBorder="1" applyAlignment="1">
      <alignment horizontal="center" vertical="center" wrapText="1"/>
    </xf>
    <xf numFmtId="0" fontId="7" fillId="5" borderId="83" xfId="0" applyFont="1" applyFill="1" applyBorder="1" applyAlignment="1">
      <alignment horizontal="center" vertical="center" wrapText="1"/>
    </xf>
    <xf numFmtId="0" fontId="11" fillId="5" borderId="74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61" xfId="0" applyFont="1" applyFill="1" applyBorder="1" applyAlignment="1">
      <alignment horizontal="center" vertical="center" wrapText="1"/>
    </xf>
    <xf numFmtId="0" fontId="7" fillId="5" borderId="7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61" xfId="0" applyFont="1" applyFill="1" applyBorder="1" applyAlignment="1">
      <alignment horizontal="center" vertical="center" wrapText="1"/>
    </xf>
    <xf numFmtId="0" fontId="7" fillId="5" borderId="74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7" fillId="5" borderId="61" xfId="0" applyFont="1" applyFill="1" applyBorder="1" applyAlignment="1">
      <alignment horizontal="left" vertical="center" wrapText="1"/>
    </xf>
    <xf numFmtId="0" fontId="7" fillId="5" borderId="74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5" borderId="61" xfId="0" applyFont="1" applyFill="1" applyBorder="1" applyAlignment="1">
      <alignment vertical="center" wrapText="1"/>
    </xf>
    <xf numFmtId="0" fontId="7" fillId="5" borderId="81" xfId="0" applyFont="1" applyFill="1" applyBorder="1" applyAlignment="1">
      <alignment horizontal="left" vertical="center" wrapText="1"/>
    </xf>
    <xf numFmtId="0" fontId="7" fillId="5" borderId="79" xfId="0" applyFont="1" applyFill="1" applyBorder="1" applyAlignment="1">
      <alignment horizontal="left" vertical="center" wrapText="1"/>
    </xf>
    <xf numFmtId="0" fontId="7" fillId="5" borderId="36" xfId="0" applyFont="1" applyFill="1" applyBorder="1" applyAlignment="1">
      <alignment horizontal="left" vertical="center" wrapText="1"/>
    </xf>
    <xf numFmtId="0" fontId="7" fillId="5" borderId="58" xfId="0" applyFont="1" applyFill="1" applyBorder="1" applyAlignment="1">
      <alignment horizontal="center" vertical="center" wrapText="1"/>
    </xf>
    <xf numFmtId="0" fontId="7" fillId="5" borderId="59" xfId="0" applyFont="1" applyFill="1" applyBorder="1" applyAlignment="1">
      <alignment horizontal="center" vertical="center" wrapText="1"/>
    </xf>
    <xf numFmtId="0" fontId="7" fillId="5" borderId="60" xfId="0" applyFont="1" applyFill="1" applyBorder="1" applyAlignment="1">
      <alignment horizontal="center" vertical="center" wrapText="1"/>
    </xf>
    <xf numFmtId="0" fontId="7" fillId="0" borderId="5" xfId="0" applyFont="1" applyBorder="1"/>
    <xf numFmtId="0" fontId="11" fillId="3" borderId="21" xfId="0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0" fillId="3" borderId="22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10" fillId="3" borderId="7" xfId="0" applyFont="1" applyFill="1" applyBorder="1" applyAlignment="1">
      <alignment vertical="center" wrapText="1"/>
    </xf>
    <xf numFmtId="0" fontId="7" fillId="0" borderId="7" xfId="0" applyFont="1" applyBorder="1" applyAlignment="1">
      <alignment vertical="center"/>
    </xf>
    <xf numFmtId="0" fontId="5" fillId="4" borderId="74" xfId="0" applyFont="1" applyFill="1" applyBorder="1" applyAlignment="1">
      <alignment horizontal="left" vertical="center" wrapText="1"/>
    </xf>
    <xf numFmtId="0" fontId="5" fillId="4" borderId="61" xfId="0" applyFont="1" applyFill="1" applyBorder="1" applyAlignment="1">
      <alignment horizontal="left" vertical="center" wrapText="1"/>
    </xf>
    <xf numFmtId="0" fontId="10" fillId="6" borderId="80" xfId="0" applyFont="1" applyFill="1" applyBorder="1" applyAlignment="1">
      <alignment horizontal="center" vertical="center"/>
    </xf>
    <xf numFmtId="0" fontId="10" fillId="6" borderId="82" xfId="0" applyFont="1" applyFill="1" applyBorder="1" applyAlignment="1">
      <alignment horizontal="center" vertical="center"/>
    </xf>
    <xf numFmtId="0" fontId="10" fillId="6" borderId="83" xfId="0" applyFont="1" applyFill="1" applyBorder="1" applyAlignment="1">
      <alignment horizontal="center" vertical="center"/>
    </xf>
    <xf numFmtId="0" fontId="5" fillId="6" borderId="74" xfId="0" applyFont="1" applyFill="1" applyBorder="1" applyAlignment="1">
      <alignment horizontal="center" vertical="center" wrapText="1"/>
    </xf>
    <xf numFmtId="0" fontId="5" fillId="6" borderId="61" xfId="0" applyFont="1" applyFill="1" applyBorder="1" applyAlignment="1">
      <alignment horizontal="center" vertical="center" wrapText="1"/>
    </xf>
    <xf numFmtId="0" fontId="5" fillId="6" borderId="74" xfId="0" applyFont="1" applyFill="1" applyBorder="1" applyAlignment="1">
      <alignment horizontal="left" vertical="center" wrapText="1"/>
    </xf>
    <xf numFmtId="0" fontId="5" fillId="6" borderId="61" xfId="0" applyFont="1" applyFill="1" applyBorder="1" applyAlignment="1">
      <alignment horizontal="left" vertical="center" wrapText="1"/>
    </xf>
    <xf numFmtId="0" fontId="5" fillId="6" borderId="74" xfId="0" applyFont="1" applyFill="1" applyBorder="1" applyAlignment="1">
      <alignment vertical="center" wrapText="1"/>
    </xf>
    <xf numFmtId="0" fontId="5" fillId="6" borderId="61" xfId="0" applyFont="1" applyFill="1" applyBorder="1" applyAlignment="1">
      <alignment vertical="center" wrapText="1"/>
    </xf>
    <xf numFmtId="0" fontId="5" fillId="6" borderId="76" xfId="0" applyFont="1" applyFill="1" applyBorder="1" applyAlignment="1">
      <alignment horizontal="left" vertical="center" wrapText="1"/>
    </xf>
    <xf numFmtId="0" fontId="5" fillId="6" borderId="21" xfId="0" applyFont="1" applyFill="1" applyBorder="1" applyAlignment="1">
      <alignment horizontal="left" vertical="center" wrapText="1"/>
    </xf>
    <xf numFmtId="0" fontId="5" fillId="6" borderId="78" xfId="0" applyFont="1" applyFill="1" applyBorder="1" applyAlignment="1">
      <alignment horizontal="left" vertical="center" wrapText="1"/>
    </xf>
    <xf numFmtId="0" fontId="10" fillId="4" borderId="80" xfId="0" applyFont="1" applyFill="1" applyBorder="1" applyAlignment="1">
      <alignment horizontal="center" vertical="center"/>
    </xf>
    <xf numFmtId="0" fontId="10" fillId="4" borderId="82" xfId="0" applyFont="1" applyFill="1" applyBorder="1" applyAlignment="1">
      <alignment horizontal="center" vertical="center"/>
    </xf>
    <xf numFmtId="0" fontId="10" fillId="4" borderId="83" xfId="0" applyFont="1" applyFill="1" applyBorder="1" applyAlignment="1">
      <alignment horizontal="center" vertical="center"/>
    </xf>
    <xf numFmtId="0" fontId="5" fillId="4" borderId="7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61" xfId="0" applyFont="1" applyFill="1" applyBorder="1" applyAlignment="1">
      <alignment horizontal="center" vertical="center" wrapText="1"/>
    </xf>
    <xf numFmtId="0" fontId="5" fillId="4" borderId="74" xfId="0" applyFont="1" applyFill="1" applyBorder="1" applyAlignment="1">
      <alignment vertical="center" wrapText="1"/>
    </xf>
    <xf numFmtId="0" fontId="5" fillId="4" borderId="61" xfId="0" applyFont="1" applyFill="1" applyBorder="1" applyAlignment="1">
      <alignment vertical="center" wrapText="1"/>
    </xf>
    <xf numFmtId="0" fontId="5" fillId="4" borderId="76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5" fillId="4" borderId="78" xfId="0" applyFont="1" applyFill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FF0000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800">
                <a:latin typeface="Verdana" panose="020B0604030504040204" pitchFamily="34" charset="0"/>
                <a:ea typeface="Verdana" panose="020B0604030504040204" pitchFamily="34" charset="0"/>
              </a:rPr>
              <a:t>Tipo de pruebas</a:t>
            </a:r>
          </a:p>
        </c:rich>
      </c:tx>
      <c:layout>
        <c:manualLayout>
          <c:xMode val="edge"/>
          <c:yMode val="edge"/>
          <c:x val="0.18045097953915981"/>
          <c:y val="4.15224913494809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1511869027421294E-2"/>
          <c:y val="0.16426450153938371"/>
          <c:w val="0.56685343890024809"/>
          <c:h val="0.71003787156363252"/>
        </c:manualLayout>
      </c:layout>
      <c:pie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20412421891062024"/>
                  <c:y val="-0.1131946267133275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965361806629395"/>
                      <c:h val="0.14898658501020701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0.1374232951808067"/>
                  <c:y val="0.1015893846602508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9979538511242477E-2"/>
                      <c:h val="0.10416666666666667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'Casos y ejecuciones'!$A$157:$A$158</c:f>
              <c:strCache>
                <c:ptCount val="2"/>
                <c:pt idx="0">
                  <c:v>Positivo</c:v>
                </c:pt>
                <c:pt idx="1">
                  <c:v>Negativo</c:v>
                </c:pt>
              </c:strCache>
            </c:strRef>
          </c:cat>
          <c:val>
            <c:numRef>
              <c:f>'Casos y ejecuciones'!$B$157:$B$158</c:f>
              <c:numCache>
                <c:formatCode>General</c:formatCode>
                <c:ptCount val="2"/>
                <c:pt idx="0">
                  <c:v>12</c:v>
                </c:pt>
                <c:pt idx="1">
                  <c:v>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706254259654006"/>
          <c:y val="0.32546658311309706"/>
          <c:w val="0.28755093458621539"/>
          <c:h val="0.4002317703366664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>
                <a:latin typeface="Verdana" panose="020B0604030504040204" pitchFamily="34" charset="0"/>
                <a:ea typeface="Verdana" panose="020B0604030504040204" pitchFamily="34" charset="0"/>
              </a:rPr>
              <a:t>Prioridad</a:t>
            </a:r>
          </a:p>
        </c:rich>
      </c:tx>
      <c:layout>
        <c:manualLayout>
          <c:xMode val="edge"/>
          <c:yMode val="edge"/>
          <c:x val="0.384647589782984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25778674007212515"/>
          <c:y val="0.21759696704578593"/>
          <c:w val="0.40041589313530929"/>
          <c:h val="0.68404381743948672"/>
        </c:manualLayout>
      </c:layout>
      <c:pieChart>
        <c:varyColors val="1"/>
        <c:ser>
          <c:idx val="0"/>
          <c:order val="0"/>
          <c:tx>
            <c:strRef>
              <c:f>'Casos y ejecuciones'!$D$156</c:f>
              <c:strCache>
                <c:ptCount val="1"/>
                <c:pt idx="0">
                  <c:v>Prioridad</c:v>
                </c:pt>
              </c:strCache>
            </c:strRef>
          </c:tx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283823058703028"/>
                  <c:y val="7.933398950131233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A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9268292682926835E-2"/>
                      <c:h val="0.12030110819480898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3.1790751765785372E-2"/>
                  <c:y val="-0.1957764654418197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9.1024368905106318E-2"/>
                  <c:y val="0.1023946485855934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'Casos y ejecuciones'!$D$157:$D$159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'Casos y ejecuciones'!$E$157:$E$159</c:f>
              <c:numCache>
                <c:formatCode>General</c:formatCode>
                <c:ptCount val="3"/>
                <c:pt idx="0">
                  <c:v>7</c:v>
                </c:pt>
                <c:pt idx="1">
                  <c:v>6</c:v>
                </c:pt>
                <c:pt idx="2">
                  <c:v>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074792480208281"/>
          <c:y val="0.21817074948964713"/>
          <c:w val="0.24755585429870047"/>
          <c:h val="0.666088509769612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0.13055424321959755"/>
          <c:y val="0.18036745406824148"/>
          <c:w val="0.46714238845144357"/>
          <c:h val="0.77333624963546221"/>
        </c:manualLayout>
      </c:layout>
      <c:pieChart>
        <c:varyColors val="1"/>
        <c:ser>
          <c:idx val="1"/>
          <c:order val="0"/>
          <c:tx>
            <c:v>Prioridad - Resultado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11157578740157485"/>
                  <c:y val="0.1715219451735199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109448818897638"/>
                  <c:y val="-8.1793161271507722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1.6264216972878391E-3"/>
                  <c:y val="-0.1243055555555555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13763353018372701"/>
                  <c:y val="8.26764362787984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'Casos y ejecuciones'!$B$176:$G$176</c:f>
              <c:strCache>
                <c:ptCount val="6"/>
                <c:pt idx="0">
                  <c:v>Alta-Positiva</c:v>
                </c:pt>
                <c:pt idx="1">
                  <c:v>Alta-Negativa</c:v>
                </c:pt>
                <c:pt idx="2">
                  <c:v>Media-Positiva</c:v>
                </c:pt>
                <c:pt idx="3">
                  <c:v>Media-Negativa</c:v>
                </c:pt>
                <c:pt idx="4">
                  <c:v>Baja-Positiva</c:v>
                </c:pt>
                <c:pt idx="5">
                  <c:v>Baja-negativa</c:v>
                </c:pt>
              </c:strCache>
            </c:strRef>
          </c:cat>
          <c:val>
            <c:numRef>
              <c:f>'Casos y ejecuciones'!$B$177:$G$177</c:f>
              <c:numCache>
                <c:formatCode>General</c:formatCode>
                <c:ptCount val="6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5</c:v>
                </c:pt>
                <c:pt idx="5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399934383202097"/>
          <c:y val="0.27562190142898807"/>
          <c:w val="0.31933398950131231"/>
          <c:h val="0.625098425196850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159</xdr:row>
      <xdr:rowOff>19050</xdr:rowOff>
    </xdr:from>
    <xdr:to>
      <xdr:col>2</xdr:col>
      <xdr:colOff>1333501</xdr:colOff>
      <xdr:row>172</xdr:row>
      <xdr:rowOff>171450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19050</xdr:colOff>
      <xdr:row>160</xdr:row>
      <xdr:rowOff>0</xdr:rowOff>
    </xdr:from>
    <xdr:to>
      <xdr:col>5</xdr:col>
      <xdr:colOff>1876425</xdr:colOff>
      <xdr:row>173</xdr:row>
      <xdr:rowOff>142875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178</xdr:row>
      <xdr:rowOff>152400</xdr:rowOff>
    </xdr:from>
    <xdr:to>
      <xdr:col>4</xdr:col>
      <xdr:colOff>685800</xdr:colOff>
      <xdr:row>192</xdr:row>
      <xdr:rowOff>95250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ch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tabSelected="1" zoomScaleNormal="100" workbookViewId="0">
      <pane ySplit="4" topLeftCell="A143" activePane="bottomLeft" state="frozen"/>
      <selection pane="bottomLeft" activeCell="H151" sqref="H151"/>
    </sheetView>
  </sheetViews>
  <sheetFormatPr baseColWidth="10" defaultColWidth="14.42578125" defaultRowHeight="15" customHeight="1"/>
  <cols>
    <col min="1" max="1" width="16.28515625" customWidth="1"/>
    <col min="2" max="2" width="15.42578125" customWidth="1"/>
    <col min="3" max="3" width="24.42578125" customWidth="1"/>
    <col min="4" max="4" width="18.7109375" customWidth="1"/>
    <col min="5" max="5" width="23.7109375" customWidth="1"/>
    <col min="6" max="6" width="32.85546875" customWidth="1"/>
    <col min="7" max="7" width="13.28515625" customWidth="1"/>
    <col min="8" max="9" width="33.28515625" customWidth="1"/>
    <col min="10" max="10" width="15.42578125" customWidth="1"/>
    <col min="11" max="11" width="21.7109375" customWidth="1"/>
    <col min="12" max="12" width="18.140625" customWidth="1"/>
    <col min="13" max="13" width="13.7109375" customWidth="1"/>
    <col min="14" max="26" width="10.7109375" customWidth="1"/>
  </cols>
  <sheetData>
    <row r="1" spans="1:12">
      <c r="A1" s="27" t="s">
        <v>97</v>
      </c>
      <c r="B1" s="311" t="s">
        <v>16</v>
      </c>
      <c r="C1" s="311"/>
      <c r="D1" s="29" t="s">
        <v>17</v>
      </c>
    </row>
    <row r="2" spans="1:12">
      <c r="A2" s="28" t="s">
        <v>25</v>
      </c>
      <c r="B2" s="313" t="s">
        <v>98</v>
      </c>
      <c r="C2" s="314"/>
      <c r="D2" s="30" t="s">
        <v>18</v>
      </c>
    </row>
    <row r="3" spans="1:12" ht="15.75" thickBot="1">
      <c r="A3" s="74"/>
      <c r="B3" s="312" t="s">
        <v>99</v>
      </c>
      <c r="C3" s="312"/>
      <c r="D3" s="75" t="s">
        <v>18</v>
      </c>
      <c r="G3" s="17"/>
      <c r="H3" s="17"/>
      <c r="I3" s="17"/>
      <c r="J3" s="17"/>
      <c r="K3" s="17"/>
    </row>
    <row r="4" spans="1:12" ht="16.5" thickBot="1">
      <c r="A4" s="76" t="s">
        <v>0</v>
      </c>
      <c r="B4" s="77" t="s">
        <v>1</v>
      </c>
      <c r="C4" s="78" t="s">
        <v>2</v>
      </c>
      <c r="D4" s="78" t="s">
        <v>3</v>
      </c>
      <c r="E4" s="79" t="s">
        <v>4</v>
      </c>
      <c r="F4" s="80" t="s">
        <v>5</v>
      </c>
      <c r="G4" s="78" t="s">
        <v>6</v>
      </c>
      <c r="H4" s="32" t="s">
        <v>7</v>
      </c>
      <c r="I4" s="31" t="s">
        <v>148</v>
      </c>
      <c r="J4" s="81" t="s">
        <v>8</v>
      </c>
      <c r="K4" s="82" t="s">
        <v>9</v>
      </c>
      <c r="L4" s="172" t="s">
        <v>225</v>
      </c>
    </row>
    <row r="5" spans="1:12">
      <c r="A5" s="323" t="s">
        <v>149</v>
      </c>
      <c r="B5" s="347" t="s">
        <v>10</v>
      </c>
      <c r="C5" s="350" t="s">
        <v>150</v>
      </c>
      <c r="D5" s="352" t="s">
        <v>151</v>
      </c>
      <c r="E5" s="355" t="s">
        <v>161</v>
      </c>
      <c r="F5" s="321" t="s">
        <v>177</v>
      </c>
      <c r="G5" s="22">
        <v>1</v>
      </c>
      <c r="H5" s="25" t="s">
        <v>152</v>
      </c>
      <c r="I5" s="5" t="s">
        <v>27</v>
      </c>
      <c r="J5" s="323" t="s">
        <v>14</v>
      </c>
      <c r="K5" s="22" t="s">
        <v>7</v>
      </c>
      <c r="L5" s="183" t="s">
        <v>226</v>
      </c>
    </row>
    <row r="6" spans="1:12" ht="30">
      <c r="A6" s="346"/>
      <c r="B6" s="348"/>
      <c r="C6" s="351"/>
      <c r="D6" s="353"/>
      <c r="E6" s="356"/>
      <c r="F6" s="322"/>
      <c r="G6" s="11">
        <v>2</v>
      </c>
      <c r="H6" s="25" t="s">
        <v>153</v>
      </c>
      <c r="I6" s="8" t="s">
        <v>83</v>
      </c>
      <c r="J6" s="324"/>
      <c r="K6" s="11" t="s">
        <v>7</v>
      </c>
      <c r="L6" s="184"/>
    </row>
    <row r="7" spans="1:12" ht="30">
      <c r="A7" s="346"/>
      <c r="B7" s="348"/>
      <c r="C7" s="351"/>
      <c r="D7" s="353"/>
      <c r="E7" s="356"/>
      <c r="F7" s="322"/>
      <c r="G7" s="11">
        <v>3</v>
      </c>
      <c r="H7" s="25" t="s">
        <v>154</v>
      </c>
      <c r="I7" s="9" t="s">
        <v>158</v>
      </c>
      <c r="J7" s="324"/>
      <c r="K7" s="11" t="s">
        <v>7</v>
      </c>
      <c r="L7" s="184"/>
    </row>
    <row r="8" spans="1:12" ht="30">
      <c r="A8" s="346"/>
      <c r="B8" s="348"/>
      <c r="C8" s="351"/>
      <c r="D8" s="353"/>
      <c r="E8" s="356"/>
      <c r="F8" s="322"/>
      <c r="G8" s="11">
        <v>4</v>
      </c>
      <c r="H8" s="25" t="s">
        <v>155</v>
      </c>
      <c r="I8" s="10" t="s">
        <v>159</v>
      </c>
      <c r="J8" s="324"/>
      <c r="K8" s="11" t="s">
        <v>7</v>
      </c>
      <c r="L8" s="184"/>
    </row>
    <row r="9" spans="1:12" ht="30">
      <c r="A9" s="346"/>
      <c r="B9" s="348"/>
      <c r="C9" s="351"/>
      <c r="D9" s="353"/>
      <c r="E9" s="356"/>
      <c r="F9" s="322"/>
      <c r="G9" s="11">
        <v>5</v>
      </c>
      <c r="H9" s="25" t="s">
        <v>156</v>
      </c>
      <c r="I9" s="10" t="s">
        <v>121</v>
      </c>
      <c r="J9" s="324"/>
      <c r="K9" s="11" t="s">
        <v>7</v>
      </c>
      <c r="L9" s="184"/>
    </row>
    <row r="10" spans="1:12">
      <c r="A10" s="346"/>
      <c r="B10" s="348"/>
      <c r="C10" s="351"/>
      <c r="D10" s="353"/>
      <c r="E10" s="356"/>
      <c r="F10" s="322"/>
      <c r="G10" s="11">
        <v>6</v>
      </c>
      <c r="H10" s="25" t="s">
        <v>157</v>
      </c>
      <c r="I10" s="2" t="s">
        <v>27</v>
      </c>
      <c r="J10" s="324"/>
      <c r="K10" s="11" t="s">
        <v>7</v>
      </c>
      <c r="L10" s="184"/>
    </row>
    <row r="11" spans="1:12" ht="15.75" thickBot="1">
      <c r="A11" s="324"/>
      <c r="B11" s="349"/>
      <c r="C11" s="351"/>
      <c r="D11" s="354"/>
      <c r="E11" s="356"/>
      <c r="F11" s="322"/>
      <c r="G11" s="18"/>
      <c r="H11" s="26"/>
      <c r="I11" s="23"/>
      <c r="J11" s="324"/>
      <c r="K11" s="18"/>
      <c r="L11" s="185"/>
    </row>
    <row r="12" spans="1:12">
      <c r="A12" s="325" t="s">
        <v>167</v>
      </c>
      <c r="B12" s="328" t="s">
        <v>10</v>
      </c>
      <c r="C12" s="331" t="s">
        <v>160</v>
      </c>
      <c r="D12" s="334" t="s">
        <v>178</v>
      </c>
      <c r="E12" s="337" t="s">
        <v>161</v>
      </c>
      <c r="F12" s="340" t="s">
        <v>177</v>
      </c>
      <c r="G12" s="86">
        <v>1</v>
      </c>
      <c r="H12" s="57" t="s">
        <v>152</v>
      </c>
      <c r="I12" s="58" t="s">
        <v>27</v>
      </c>
      <c r="J12" s="343" t="s">
        <v>14</v>
      </c>
      <c r="K12" s="59" t="s">
        <v>7</v>
      </c>
      <c r="L12" s="180" t="s">
        <v>226</v>
      </c>
    </row>
    <row r="13" spans="1:12">
      <c r="A13" s="326"/>
      <c r="B13" s="329"/>
      <c r="C13" s="332"/>
      <c r="D13" s="335"/>
      <c r="E13" s="338"/>
      <c r="F13" s="341"/>
      <c r="G13" s="87">
        <v>2</v>
      </c>
      <c r="H13" s="60" t="s">
        <v>162</v>
      </c>
      <c r="I13" s="61" t="s">
        <v>166</v>
      </c>
      <c r="J13" s="344"/>
      <c r="K13" s="62" t="s">
        <v>7</v>
      </c>
      <c r="L13" s="181"/>
    </row>
    <row r="14" spans="1:12" ht="30">
      <c r="A14" s="326"/>
      <c r="B14" s="329"/>
      <c r="C14" s="332"/>
      <c r="D14" s="335"/>
      <c r="E14" s="338"/>
      <c r="F14" s="341"/>
      <c r="G14" s="87">
        <v>3</v>
      </c>
      <c r="H14" s="60" t="s">
        <v>163</v>
      </c>
      <c r="I14" s="61" t="s">
        <v>158</v>
      </c>
      <c r="J14" s="344"/>
      <c r="K14" s="62" t="s">
        <v>7</v>
      </c>
      <c r="L14" s="181"/>
    </row>
    <row r="15" spans="1:12" ht="30">
      <c r="A15" s="326"/>
      <c r="B15" s="329"/>
      <c r="C15" s="332"/>
      <c r="D15" s="335"/>
      <c r="E15" s="338"/>
      <c r="F15" s="341"/>
      <c r="G15" s="87">
        <v>4</v>
      </c>
      <c r="H15" s="60" t="s">
        <v>164</v>
      </c>
      <c r="I15" s="61" t="s">
        <v>159</v>
      </c>
      <c r="J15" s="344"/>
      <c r="K15" s="62" t="s">
        <v>7</v>
      </c>
      <c r="L15" s="181"/>
    </row>
    <row r="16" spans="1:12">
      <c r="A16" s="326"/>
      <c r="B16" s="329"/>
      <c r="C16" s="332"/>
      <c r="D16" s="335"/>
      <c r="E16" s="338"/>
      <c r="F16" s="341"/>
      <c r="G16" s="87">
        <v>5</v>
      </c>
      <c r="H16" s="60" t="s">
        <v>165</v>
      </c>
      <c r="I16" s="61" t="s">
        <v>27</v>
      </c>
      <c r="J16" s="344"/>
      <c r="K16" s="62" t="s">
        <v>7</v>
      </c>
      <c r="L16" s="181"/>
    </row>
    <row r="17" spans="1:14" ht="15.75" thickBot="1">
      <c r="A17" s="327"/>
      <c r="B17" s="330"/>
      <c r="C17" s="333"/>
      <c r="D17" s="336"/>
      <c r="E17" s="339"/>
      <c r="F17" s="342"/>
      <c r="G17" s="88"/>
      <c r="H17" s="63"/>
      <c r="I17" s="64"/>
      <c r="J17" s="345"/>
      <c r="K17" s="65"/>
      <c r="L17" s="182"/>
    </row>
    <row r="18" spans="1:14" ht="15" customHeight="1">
      <c r="A18" s="261" t="s">
        <v>101</v>
      </c>
      <c r="B18" s="263" t="s">
        <v>10</v>
      </c>
      <c r="C18" s="265" t="s">
        <v>23</v>
      </c>
      <c r="D18" s="267" t="s">
        <v>179</v>
      </c>
      <c r="E18" s="318" t="s">
        <v>182</v>
      </c>
      <c r="F18" s="244" t="s">
        <v>210</v>
      </c>
      <c r="G18" s="114">
        <v>1</v>
      </c>
      <c r="H18" s="115" t="s">
        <v>24</v>
      </c>
      <c r="I18" s="116" t="s">
        <v>27</v>
      </c>
      <c r="J18" s="247" t="s">
        <v>15</v>
      </c>
      <c r="K18" s="114" t="s">
        <v>7</v>
      </c>
      <c r="L18" s="198" t="s">
        <v>226</v>
      </c>
    </row>
    <row r="19" spans="1:14" ht="30">
      <c r="A19" s="218"/>
      <c r="B19" s="207"/>
      <c r="C19" s="208"/>
      <c r="D19" s="268"/>
      <c r="E19" s="319"/>
      <c r="F19" s="245"/>
      <c r="G19" s="117">
        <v>2</v>
      </c>
      <c r="H19" s="118" t="s">
        <v>28</v>
      </c>
      <c r="I19" s="119" t="s">
        <v>12</v>
      </c>
      <c r="J19" s="248"/>
      <c r="K19" s="117" t="s">
        <v>7</v>
      </c>
      <c r="L19" s="199"/>
    </row>
    <row r="20" spans="1:14" ht="30">
      <c r="A20" s="218"/>
      <c r="B20" s="207"/>
      <c r="C20" s="208"/>
      <c r="D20" s="268"/>
      <c r="E20" s="319"/>
      <c r="F20" s="245"/>
      <c r="G20" s="117">
        <v>3</v>
      </c>
      <c r="H20" s="118" t="s">
        <v>29</v>
      </c>
      <c r="I20" s="119" t="s">
        <v>26</v>
      </c>
      <c r="J20" s="248"/>
      <c r="K20" s="117" t="s">
        <v>7</v>
      </c>
      <c r="L20" s="199"/>
    </row>
    <row r="21" spans="1:14">
      <c r="A21" s="218"/>
      <c r="B21" s="207"/>
      <c r="C21" s="208"/>
      <c r="D21" s="268"/>
      <c r="E21" s="319"/>
      <c r="F21" s="245"/>
      <c r="G21" s="117">
        <v>4</v>
      </c>
      <c r="H21" s="118" t="s">
        <v>34</v>
      </c>
      <c r="I21" s="119" t="s">
        <v>44</v>
      </c>
      <c r="J21" s="248"/>
      <c r="K21" s="117" t="s">
        <v>7</v>
      </c>
      <c r="L21" s="199"/>
    </row>
    <row r="22" spans="1:14" ht="60">
      <c r="A22" s="218"/>
      <c r="B22" s="207"/>
      <c r="C22" s="208"/>
      <c r="D22" s="268"/>
      <c r="E22" s="319"/>
      <c r="F22" s="245"/>
      <c r="G22" s="117">
        <v>5</v>
      </c>
      <c r="H22" s="118" t="s">
        <v>35</v>
      </c>
      <c r="I22" s="119" t="s">
        <v>45</v>
      </c>
      <c r="J22" s="248"/>
      <c r="K22" s="117" t="s">
        <v>7</v>
      </c>
      <c r="L22" s="199"/>
      <c r="M22" s="17"/>
    </row>
    <row r="23" spans="1:14">
      <c r="A23" s="218"/>
      <c r="B23" s="207"/>
      <c r="C23" s="208"/>
      <c r="D23" s="268"/>
      <c r="E23" s="319"/>
      <c r="F23" s="245"/>
      <c r="G23" s="117"/>
      <c r="H23" s="120"/>
      <c r="I23" s="54"/>
      <c r="J23" s="248"/>
      <c r="K23" s="117"/>
      <c r="L23" s="199"/>
      <c r="M23" s="17"/>
    </row>
    <row r="24" spans="1:14" ht="15.75" thickBot="1">
      <c r="A24" s="262"/>
      <c r="B24" s="264"/>
      <c r="C24" s="266"/>
      <c r="D24" s="269"/>
      <c r="E24" s="320"/>
      <c r="F24" s="246"/>
      <c r="G24" s="121"/>
      <c r="H24" s="122"/>
      <c r="I24" s="55"/>
      <c r="J24" s="249"/>
      <c r="K24" s="56"/>
      <c r="L24" s="200"/>
      <c r="M24" s="17"/>
      <c r="N24" s="17"/>
    </row>
    <row r="25" spans="1:14">
      <c r="A25" s="254" t="s">
        <v>100</v>
      </c>
      <c r="B25" s="290" t="s">
        <v>13</v>
      </c>
      <c r="C25" s="224" t="s">
        <v>30</v>
      </c>
      <c r="D25" s="293" t="s">
        <v>180</v>
      </c>
      <c r="E25" s="250" t="s">
        <v>182</v>
      </c>
      <c r="F25" s="252" t="s">
        <v>211</v>
      </c>
      <c r="G25" s="53">
        <v>1</v>
      </c>
      <c r="H25" s="69" t="s">
        <v>24</v>
      </c>
      <c r="I25" s="155" t="s">
        <v>27</v>
      </c>
      <c r="J25" s="254" t="s">
        <v>14</v>
      </c>
      <c r="K25" s="53" t="s">
        <v>7</v>
      </c>
      <c r="L25" s="189" t="s">
        <v>226</v>
      </c>
      <c r="M25" s="17"/>
      <c r="N25" s="17"/>
    </row>
    <row r="26" spans="1:14" ht="30">
      <c r="A26" s="289"/>
      <c r="B26" s="291"/>
      <c r="C26" s="279"/>
      <c r="D26" s="294"/>
      <c r="E26" s="251"/>
      <c r="F26" s="253"/>
      <c r="G26" s="20">
        <v>2</v>
      </c>
      <c r="H26" s="69" t="s">
        <v>28</v>
      </c>
      <c r="I26" s="156" t="s">
        <v>12</v>
      </c>
      <c r="J26" s="255"/>
      <c r="K26" s="20" t="s">
        <v>7</v>
      </c>
      <c r="L26" s="190"/>
      <c r="M26" s="17"/>
    </row>
    <row r="27" spans="1:14" ht="30">
      <c r="A27" s="289"/>
      <c r="B27" s="291"/>
      <c r="C27" s="279"/>
      <c r="D27" s="294"/>
      <c r="E27" s="251"/>
      <c r="F27" s="253"/>
      <c r="G27" s="20">
        <v>3</v>
      </c>
      <c r="H27" s="69" t="s">
        <v>29</v>
      </c>
      <c r="I27" s="157" t="s">
        <v>26</v>
      </c>
      <c r="J27" s="255"/>
      <c r="K27" s="20" t="s">
        <v>7</v>
      </c>
      <c r="L27" s="190"/>
    </row>
    <row r="28" spans="1:14" ht="30">
      <c r="A28" s="289"/>
      <c r="B28" s="291"/>
      <c r="C28" s="279"/>
      <c r="D28" s="294"/>
      <c r="E28" s="251"/>
      <c r="F28" s="253"/>
      <c r="G28" s="20">
        <v>4</v>
      </c>
      <c r="H28" s="69" t="s">
        <v>31</v>
      </c>
      <c r="I28" s="158" t="s">
        <v>12</v>
      </c>
      <c r="J28" s="255"/>
      <c r="K28" s="20" t="s">
        <v>7</v>
      </c>
      <c r="L28" s="190"/>
    </row>
    <row r="29" spans="1:14" ht="45">
      <c r="A29" s="289"/>
      <c r="B29" s="291"/>
      <c r="C29" s="279"/>
      <c r="D29" s="294"/>
      <c r="E29" s="251"/>
      <c r="F29" s="253"/>
      <c r="G29" s="20">
        <v>5</v>
      </c>
      <c r="H29" s="69" t="s">
        <v>40</v>
      </c>
      <c r="I29" s="158" t="s">
        <v>32</v>
      </c>
      <c r="J29" s="255"/>
      <c r="K29" s="20" t="s">
        <v>7</v>
      </c>
      <c r="L29" s="190"/>
    </row>
    <row r="30" spans="1:14" ht="15.75" thickBot="1">
      <c r="A30" s="289"/>
      <c r="B30" s="292"/>
      <c r="C30" s="279"/>
      <c r="D30" s="294"/>
      <c r="E30" s="251"/>
      <c r="F30" s="253"/>
      <c r="G30" s="67"/>
      <c r="H30" s="159"/>
      <c r="I30" s="160"/>
      <c r="J30" s="255"/>
      <c r="K30" s="67"/>
      <c r="L30" s="191"/>
    </row>
    <row r="31" spans="1:14">
      <c r="A31" s="204" t="s">
        <v>103</v>
      </c>
      <c r="B31" s="206" t="s">
        <v>13</v>
      </c>
      <c r="C31" s="206" t="s">
        <v>33</v>
      </c>
      <c r="D31" s="209" t="s">
        <v>181</v>
      </c>
      <c r="E31" s="211" t="s">
        <v>182</v>
      </c>
      <c r="F31" s="272" t="s">
        <v>210</v>
      </c>
      <c r="G31" s="46">
        <v>1</v>
      </c>
      <c r="H31" s="123" t="s">
        <v>24</v>
      </c>
      <c r="I31" s="107" t="s">
        <v>27</v>
      </c>
      <c r="J31" s="275" t="s">
        <v>15</v>
      </c>
      <c r="K31" s="46" t="s">
        <v>7</v>
      </c>
      <c r="L31" s="195" t="s">
        <v>226</v>
      </c>
    </row>
    <row r="32" spans="1:14" ht="30">
      <c r="A32" s="213"/>
      <c r="B32" s="239"/>
      <c r="C32" s="239"/>
      <c r="D32" s="236"/>
      <c r="E32" s="259"/>
      <c r="F32" s="273"/>
      <c r="G32" s="47">
        <v>2</v>
      </c>
      <c r="H32" s="124" t="s">
        <v>28</v>
      </c>
      <c r="I32" s="110" t="s">
        <v>12</v>
      </c>
      <c r="J32" s="276"/>
      <c r="K32" s="47" t="s">
        <v>7</v>
      </c>
      <c r="L32" s="196"/>
    </row>
    <row r="33" spans="1:12" ht="30">
      <c r="A33" s="213"/>
      <c r="B33" s="239"/>
      <c r="C33" s="239"/>
      <c r="D33" s="236"/>
      <c r="E33" s="259"/>
      <c r="F33" s="273"/>
      <c r="G33" s="47">
        <v>3</v>
      </c>
      <c r="H33" s="124" t="s">
        <v>29</v>
      </c>
      <c r="I33" s="110" t="s">
        <v>26</v>
      </c>
      <c r="J33" s="276"/>
      <c r="K33" s="47" t="s">
        <v>7</v>
      </c>
      <c r="L33" s="196"/>
    </row>
    <row r="34" spans="1:12">
      <c r="A34" s="213"/>
      <c r="B34" s="239"/>
      <c r="C34" s="239"/>
      <c r="D34" s="236"/>
      <c r="E34" s="259"/>
      <c r="F34" s="273"/>
      <c r="G34" s="47">
        <v>4</v>
      </c>
      <c r="H34" s="124" t="s">
        <v>34</v>
      </c>
      <c r="I34" s="110" t="s">
        <v>44</v>
      </c>
      <c r="J34" s="276"/>
      <c r="K34" s="47" t="s">
        <v>7</v>
      </c>
      <c r="L34" s="196"/>
    </row>
    <row r="35" spans="1:12" ht="15" customHeight="1">
      <c r="A35" s="213"/>
      <c r="B35" s="239"/>
      <c r="C35" s="239"/>
      <c r="D35" s="236"/>
      <c r="E35" s="259"/>
      <c r="F35" s="273"/>
      <c r="G35" s="47">
        <v>5</v>
      </c>
      <c r="H35" s="124" t="s">
        <v>36</v>
      </c>
      <c r="I35" s="110" t="s">
        <v>43</v>
      </c>
      <c r="J35" s="276"/>
      <c r="K35" s="47" t="s">
        <v>7</v>
      </c>
      <c r="L35" s="196"/>
    </row>
    <row r="36" spans="1:12" ht="30">
      <c r="A36" s="213"/>
      <c r="B36" s="239"/>
      <c r="C36" s="239"/>
      <c r="D36" s="236"/>
      <c r="E36" s="259"/>
      <c r="F36" s="273"/>
      <c r="G36" s="47">
        <v>6</v>
      </c>
      <c r="H36" s="124" t="s">
        <v>37</v>
      </c>
      <c r="I36" s="110" t="s">
        <v>42</v>
      </c>
      <c r="J36" s="276"/>
      <c r="K36" s="47" t="s">
        <v>7</v>
      </c>
      <c r="L36" s="196"/>
    </row>
    <row r="37" spans="1:12" ht="30">
      <c r="A37" s="213"/>
      <c r="B37" s="239"/>
      <c r="C37" s="239"/>
      <c r="D37" s="236"/>
      <c r="E37" s="259"/>
      <c r="F37" s="273"/>
      <c r="G37" s="47">
        <v>7</v>
      </c>
      <c r="H37" s="124" t="s">
        <v>39</v>
      </c>
      <c r="I37" s="110" t="s">
        <v>43</v>
      </c>
      <c r="J37" s="276"/>
      <c r="K37" s="47" t="s">
        <v>7</v>
      </c>
      <c r="L37" s="196"/>
    </row>
    <row r="38" spans="1:12" ht="30">
      <c r="A38" s="213"/>
      <c r="B38" s="239"/>
      <c r="C38" s="239"/>
      <c r="D38" s="236"/>
      <c r="E38" s="259"/>
      <c r="F38" s="273"/>
      <c r="G38" s="125">
        <v>8</v>
      </c>
      <c r="H38" s="124" t="s">
        <v>41</v>
      </c>
      <c r="I38" s="110" t="s">
        <v>42</v>
      </c>
      <c r="J38" s="276"/>
      <c r="K38" s="47" t="s">
        <v>7</v>
      </c>
      <c r="L38" s="196"/>
    </row>
    <row r="39" spans="1:12" ht="30">
      <c r="A39" s="213"/>
      <c r="B39" s="239"/>
      <c r="C39" s="239"/>
      <c r="D39" s="236"/>
      <c r="E39" s="259"/>
      <c r="F39" s="273"/>
      <c r="G39" s="125">
        <v>9</v>
      </c>
      <c r="H39" s="124" t="s">
        <v>31</v>
      </c>
      <c r="I39" s="110" t="s">
        <v>12</v>
      </c>
      <c r="J39" s="276"/>
      <c r="K39" s="47" t="s">
        <v>7</v>
      </c>
      <c r="L39" s="196"/>
    </row>
    <row r="40" spans="1:12" ht="30.75" thickBot="1">
      <c r="A40" s="240"/>
      <c r="B40" s="270"/>
      <c r="C40" s="270"/>
      <c r="D40" s="271"/>
      <c r="E40" s="260"/>
      <c r="F40" s="274"/>
      <c r="G40" s="126">
        <v>10</v>
      </c>
      <c r="H40" s="127" t="s">
        <v>40</v>
      </c>
      <c r="I40" s="113" t="s">
        <v>46</v>
      </c>
      <c r="J40" s="277"/>
      <c r="K40" s="44" t="s">
        <v>7</v>
      </c>
      <c r="L40" s="197"/>
    </row>
    <row r="41" spans="1:12">
      <c r="A41" s="296" t="s">
        <v>104</v>
      </c>
      <c r="B41" s="223" t="s">
        <v>10</v>
      </c>
      <c r="C41" s="278" t="s">
        <v>20</v>
      </c>
      <c r="D41" s="226" t="s">
        <v>38</v>
      </c>
      <c r="E41" s="285" t="s">
        <v>182</v>
      </c>
      <c r="F41" s="287" t="s">
        <v>210</v>
      </c>
      <c r="G41" s="149">
        <v>1</v>
      </c>
      <c r="H41" s="69" t="s">
        <v>24</v>
      </c>
      <c r="I41" s="150" t="s">
        <v>27</v>
      </c>
      <c r="J41" s="256" t="s">
        <v>11</v>
      </c>
      <c r="K41" s="53" t="s">
        <v>7</v>
      </c>
      <c r="L41" s="189" t="s">
        <v>226</v>
      </c>
    </row>
    <row r="42" spans="1:12" ht="30">
      <c r="A42" s="289"/>
      <c r="B42" s="281"/>
      <c r="C42" s="279"/>
      <c r="D42" s="283"/>
      <c r="E42" s="251"/>
      <c r="F42" s="253"/>
      <c r="G42" s="151">
        <v>2</v>
      </c>
      <c r="H42" s="69" t="s">
        <v>28</v>
      </c>
      <c r="I42" s="150" t="s">
        <v>12</v>
      </c>
      <c r="J42" s="257"/>
      <c r="K42" s="53" t="s">
        <v>7</v>
      </c>
      <c r="L42" s="190"/>
    </row>
    <row r="43" spans="1:12" ht="30">
      <c r="A43" s="289"/>
      <c r="B43" s="281"/>
      <c r="C43" s="279"/>
      <c r="D43" s="283"/>
      <c r="E43" s="251"/>
      <c r="F43" s="253"/>
      <c r="G43" s="152">
        <v>3</v>
      </c>
      <c r="H43" s="69" t="s">
        <v>29</v>
      </c>
      <c r="I43" s="150" t="s">
        <v>26</v>
      </c>
      <c r="J43" s="257"/>
      <c r="K43" s="53" t="s">
        <v>7</v>
      </c>
      <c r="L43" s="190"/>
    </row>
    <row r="44" spans="1:12" ht="30">
      <c r="A44" s="289"/>
      <c r="B44" s="281"/>
      <c r="C44" s="279"/>
      <c r="D44" s="283"/>
      <c r="E44" s="251"/>
      <c r="F44" s="253"/>
      <c r="G44" s="151">
        <v>4</v>
      </c>
      <c r="H44" s="69" t="s">
        <v>47</v>
      </c>
      <c r="I44" s="150" t="s">
        <v>12</v>
      </c>
      <c r="J44" s="257"/>
      <c r="K44" s="53" t="s">
        <v>7</v>
      </c>
      <c r="L44" s="190"/>
    </row>
    <row r="45" spans="1:12" ht="30">
      <c r="A45" s="289"/>
      <c r="B45" s="281"/>
      <c r="C45" s="279"/>
      <c r="D45" s="283"/>
      <c r="E45" s="251"/>
      <c r="F45" s="253"/>
      <c r="G45" s="152">
        <v>5</v>
      </c>
      <c r="H45" s="69" t="s">
        <v>48</v>
      </c>
      <c r="I45" s="150" t="s">
        <v>55</v>
      </c>
      <c r="J45" s="257"/>
      <c r="K45" s="53" t="s">
        <v>7</v>
      </c>
      <c r="L45" s="190"/>
    </row>
    <row r="46" spans="1:12">
      <c r="A46" s="289"/>
      <c r="B46" s="281"/>
      <c r="C46" s="279"/>
      <c r="D46" s="283"/>
      <c r="E46" s="251"/>
      <c r="F46" s="253"/>
      <c r="G46" s="151"/>
      <c r="H46" s="69"/>
      <c r="I46" s="150"/>
      <c r="J46" s="257"/>
      <c r="K46" s="20"/>
      <c r="L46" s="190"/>
    </row>
    <row r="47" spans="1:12">
      <c r="A47" s="289"/>
      <c r="B47" s="281"/>
      <c r="C47" s="279"/>
      <c r="D47" s="283"/>
      <c r="E47" s="251"/>
      <c r="F47" s="253"/>
      <c r="G47" s="152"/>
      <c r="H47" s="69"/>
      <c r="I47" s="150"/>
      <c r="J47" s="257"/>
      <c r="K47" s="20"/>
      <c r="L47" s="190"/>
    </row>
    <row r="48" spans="1:12" ht="15.75" thickBot="1">
      <c r="A48" s="289"/>
      <c r="B48" s="282"/>
      <c r="C48" s="280"/>
      <c r="D48" s="284"/>
      <c r="E48" s="286"/>
      <c r="F48" s="288"/>
      <c r="G48" s="153"/>
      <c r="H48" s="70"/>
      <c r="I48" s="154"/>
      <c r="J48" s="258"/>
      <c r="K48" s="67"/>
      <c r="L48" s="191"/>
    </row>
    <row r="49" spans="1:12">
      <c r="A49" s="204" t="s">
        <v>105</v>
      </c>
      <c r="B49" s="221" t="s">
        <v>10</v>
      </c>
      <c r="C49" s="206" t="s">
        <v>19</v>
      </c>
      <c r="D49" s="209" t="s">
        <v>183</v>
      </c>
      <c r="E49" s="211" t="s">
        <v>182</v>
      </c>
      <c r="F49" s="209" t="s">
        <v>210</v>
      </c>
      <c r="G49" s="128">
        <v>1</v>
      </c>
      <c r="H49" s="38" t="s">
        <v>24</v>
      </c>
      <c r="I49" s="45" t="s">
        <v>27</v>
      </c>
      <c r="J49" s="241" t="s">
        <v>11</v>
      </c>
      <c r="K49" s="46" t="s">
        <v>7</v>
      </c>
      <c r="L49" s="195" t="s">
        <v>226</v>
      </c>
    </row>
    <row r="50" spans="1:12" ht="30">
      <c r="A50" s="213"/>
      <c r="B50" s="222"/>
      <c r="C50" s="239"/>
      <c r="D50" s="236"/>
      <c r="E50" s="259"/>
      <c r="F50" s="236"/>
      <c r="G50" s="96">
        <v>2</v>
      </c>
      <c r="H50" s="38" t="s">
        <v>28</v>
      </c>
      <c r="I50" s="45" t="s">
        <v>12</v>
      </c>
      <c r="J50" s="242"/>
      <c r="K50" s="47" t="s">
        <v>7</v>
      </c>
      <c r="L50" s="196"/>
    </row>
    <row r="51" spans="1:12" ht="30">
      <c r="A51" s="213"/>
      <c r="B51" s="222"/>
      <c r="C51" s="239"/>
      <c r="D51" s="236"/>
      <c r="E51" s="259"/>
      <c r="F51" s="236"/>
      <c r="G51" s="97">
        <v>3</v>
      </c>
      <c r="H51" s="38" t="s">
        <v>29</v>
      </c>
      <c r="I51" s="45" t="s">
        <v>26</v>
      </c>
      <c r="J51" s="242"/>
      <c r="K51" s="47" t="s">
        <v>7</v>
      </c>
      <c r="L51" s="196"/>
    </row>
    <row r="52" spans="1:12">
      <c r="A52" s="213"/>
      <c r="B52" s="222"/>
      <c r="C52" s="239"/>
      <c r="D52" s="236"/>
      <c r="E52" s="259"/>
      <c r="F52" s="236"/>
      <c r="G52" s="97">
        <v>4</v>
      </c>
      <c r="H52" s="38" t="s">
        <v>34</v>
      </c>
      <c r="I52" s="45" t="s">
        <v>44</v>
      </c>
      <c r="J52" s="242"/>
      <c r="K52" s="47" t="s">
        <v>7</v>
      </c>
      <c r="L52" s="196"/>
    </row>
    <row r="53" spans="1:12" ht="30">
      <c r="A53" s="213"/>
      <c r="B53" s="222"/>
      <c r="C53" s="239"/>
      <c r="D53" s="236"/>
      <c r="E53" s="259"/>
      <c r="F53" s="236"/>
      <c r="G53" s="97">
        <v>5</v>
      </c>
      <c r="H53" s="38" t="s">
        <v>36</v>
      </c>
      <c r="I53" s="45" t="s">
        <v>43</v>
      </c>
      <c r="J53" s="242"/>
      <c r="K53" s="47" t="s">
        <v>7</v>
      </c>
      <c r="L53" s="196"/>
    </row>
    <row r="54" spans="1:12" ht="30">
      <c r="A54" s="213"/>
      <c r="B54" s="222"/>
      <c r="C54" s="239"/>
      <c r="D54" s="236"/>
      <c r="E54" s="259"/>
      <c r="F54" s="236"/>
      <c r="G54" s="97">
        <v>6</v>
      </c>
      <c r="H54" s="38" t="s">
        <v>37</v>
      </c>
      <c r="I54" s="45" t="s">
        <v>42</v>
      </c>
      <c r="J54" s="242"/>
      <c r="K54" s="47" t="s">
        <v>7</v>
      </c>
      <c r="L54" s="196"/>
    </row>
    <row r="55" spans="1:12" ht="36" customHeight="1">
      <c r="A55" s="213"/>
      <c r="B55" s="222"/>
      <c r="C55" s="239"/>
      <c r="D55" s="236"/>
      <c r="E55" s="259"/>
      <c r="F55" s="236"/>
      <c r="G55" s="97">
        <v>7</v>
      </c>
      <c r="H55" s="40" t="s">
        <v>39</v>
      </c>
      <c r="I55" s="45" t="s">
        <v>43</v>
      </c>
      <c r="J55" s="242"/>
      <c r="K55" s="47" t="s">
        <v>7</v>
      </c>
      <c r="L55" s="196"/>
    </row>
    <row r="56" spans="1:12" ht="30">
      <c r="A56" s="213"/>
      <c r="B56" s="222"/>
      <c r="C56" s="239"/>
      <c r="D56" s="236"/>
      <c r="E56" s="259"/>
      <c r="F56" s="236"/>
      <c r="G56" s="104">
        <v>8</v>
      </c>
      <c r="H56" s="129" t="s">
        <v>37</v>
      </c>
      <c r="I56" s="130" t="s">
        <v>42</v>
      </c>
      <c r="J56" s="242"/>
      <c r="K56" s="47" t="s">
        <v>7</v>
      </c>
      <c r="L56" s="196"/>
    </row>
    <row r="57" spans="1:12" ht="30">
      <c r="A57" s="213"/>
      <c r="B57" s="222"/>
      <c r="C57" s="239"/>
      <c r="D57" s="236"/>
      <c r="E57" s="259"/>
      <c r="F57" s="236"/>
      <c r="G57" s="104">
        <v>9</v>
      </c>
      <c r="H57" s="50" t="s">
        <v>49</v>
      </c>
      <c r="I57" s="51" t="s">
        <v>43</v>
      </c>
      <c r="J57" s="242"/>
      <c r="K57" s="47" t="s">
        <v>7</v>
      </c>
      <c r="L57" s="196"/>
    </row>
    <row r="58" spans="1:12">
      <c r="A58" s="213"/>
      <c r="B58" s="222"/>
      <c r="C58" s="239"/>
      <c r="D58" s="236"/>
      <c r="E58" s="259"/>
      <c r="F58" s="236"/>
      <c r="G58" s="131">
        <v>10</v>
      </c>
      <c r="H58" s="132" t="s">
        <v>50</v>
      </c>
      <c r="I58" s="130" t="s">
        <v>51</v>
      </c>
      <c r="J58" s="242"/>
      <c r="K58" s="47" t="s">
        <v>7</v>
      </c>
      <c r="L58" s="196"/>
    </row>
    <row r="59" spans="1:12" ht="30">
      <c r="A59" s="213"/>
      <c r="B59" s="222"/>
      <c r="C59" s="239"/>
      <c r="D59" s="236"/>
      <c r="E59" s="259"/>
      <c r="F59" s="236"/>
      <c r="G59" s="133">
        <v>11</v>
      </c>
      <c r="H59" s="50" t="s">
        <v>52</v>
      </c>
      <c r="I59" s="51" t="s">
        <v>53</v>
      </c>
      <c r="J59" s="242"/>
      <c r="K59" s="47" t="s">
        <v>7</v>
      </c>
      <c r="L59" s="196"/>
    </row>
    <row r="60" spans="1:12" ht="30">
      <c r="A60" s="213"/>
      <c r="B60" s="222"/>
      <c r="C60" s="239"/>
      <c r="D60" s="236"/>
      <c r="E60" s="259"/>
      <c r="F60" s="236"/>
      <c r="G60" s="134">
        <v>12</v>
      </c>
      <c r="H60" s="132" t="s">
        <v>31</v>
      </c>
      <c r="I60" s="135" t="s">
        <v>12</v>
      </c>
      <c r="J60" s="242"/>
      <c r="K60" s="47" t="s">
        <v>7</v>
      </c>
      <c r="L60" s="196"/>
    </row>
    <row r="61" spans="1:12" ht="30.75" thickBot="1">
      <c r="A61" s="240"/>
      <c r="B61" s="295"/>
      <c r="C61" s="270"/>
      <c r="D61" s="271"/>
      <c r="E61" s="260"/>
      <c r="F61" s="271"/>
      <c r="G61" s="96">
        <v>13</v>
      </c>
      <c r="H61" s="136" t="s">
        <v>40</v>
      </c>
      <c r="I61" s="137" t="s">
        <v>54</v>
      </c>
      <c r="J61" s="243"/>
      <c r="K61" s="44" t="s">
        <v>7</v>
      </c>
      <c r="L61" s="197"/>
    </row>
    <row r="62" spans="1:12">
      <c r="A62" s="297" t="s">
        <v>102</v>
      </c>
      <c r="B62" s="223" t="s">
        <v>10</v>
      </c>
      <c r="C62" s="223" t="s">
        <v>57</v>
      </c>
      <c r="D62" s="300" t="s">
        <v>56</v>
      </c>
      <c r="E62" s="301" t="s">
        <v>213</v>
      </c>
      <c r="F62" s="300" t="s">
        <v>176</v>
      </c>
      <c r="G62" s="92">
        <v>1</v>
      </c>
      <c r="H62" s="6" t="s">
        <v>24</v>
      </c>
      <c r="I62" s="3" t="s">
        <v>27</v>
      </c>
      <c r="J62" s="256" t="s">
        <v>11</v>
      </c>
      <c r="K62" s="53" t="s">
        <v>7</v>
      </c>
      <c r="L62" s="189" t="s">
        <v>226</v>
      </c>
    </row>
    <row r="63" spans="1:12" ht="60">
      <c r="A63" s="298"/>
      <c r="B63" s="281"/>
      <c r="C63" s="279"/>
      <c r="D63" s="283"/>
      <c r="E63" s="251"/>
      <c r="F63" s="283"/>
      <c r="G63" s="89">
        <v>2</v>
      </c>
      <c r="H63" s="6" t="s">
        <v>58</v>
      </c>
      <c r="I63" s="3" t="s">
        <v>62</v>
      </c>
      <c r="J63" s="257"/>
      <c r="K63" s="53" t="s">
        <v>7</v>
      </c>
      <c r="L63" s="190"/>
    </row>
    <row r="64" spans="1:12" ht="30">
      <c r="A64" s="298"/>
      <c r="B64" s="281"/>
      <c r="C64" s="279"/>
      <c r="D64" s="283"/>
      <c r="E64" s="251"/>
      <c r="F64" s="283"/>
      <c r="G64" s="90">
        <v>3</v>
      </c>
      <c r="H64" s="6" t="s">
        <v>59</v>
      </c>
      <c r="I64" s="3" t="s">
        <v>63</v>
      </c>
      <c r="J64" s="257"/>
      <c r="K64" s="53" t="s">
        <v>7</v>
      </c>
      <c r="L64" s="190"/>
    </row>
    <row r="65" spans="1:12" ht="30">
      <c r="A65" s="298"/>
      <c r="B65" s="281"/>
      <c r="C65" s="279"/>
      <c r="D65" s="283"/>
      <c r="E65" s="251"/>
      <c r="F65" s="283"/>
      <c r="G65" s="90">
        <v>4</v>
      </c>
      <c r="H65" s="6" t="s">
        <v>60</v>
      </c>
      <c r="I65" s="3" t="s">
        <v>12</v>
      </c>
      <c r="J65" s="257"/>
      <c r="K65" s="53" t="s">
        <v>7</v>
      </c>
      <c r="L65" s="190"/>
    </row>
    <row r="66" spans="1:12" ht="30">
      <c r="A66" s="298"/>
      <c r="B66" s="281"/>
      <c r="C66" s="279"/>
      <c r="D66" s="283"/>
      <c r="E66" s="251"/>
      <c r="F66" s="283"/>
      <c r="G66" s="90">
        <v>5</v>
      </c>
      <c r="H66" s="6" t="s">
        <v>61</v>
      </c>
      <c r="I66" s="3" t="s">
        <v>64</v>
      </c>
      <c r="J66" s="257"/>
      <c r="K66" s="53" t="s">
        <v>7</v>
      </c>
      <c r="L66" s="190"/>
    </row>
    <row r="67" spans="1:12">
      <c r="A67" s="298"/>
      <c r="B67" s="281"/>
      <c r="C67" s="279"/>
      <c r="D67" s="283"/>
      <c r="E67" s="251"/>
      <c r="F67" s="283"/>
      <c r="G67" s="90"/>
      <c r="H67" s="6"/>
      <c r="I67" s="3"/>
      <c r="J67" s="257"/>
      <c r="K67" s="53"/>
      <c r="L67" s="190"/>
    </row>
    <row r="68" spans="1:12">
      <c r="A68" s="298"/>
      <c r="B68" s="281"/>
      <c r="C68" s="279"/>
      <c r="D68" s="283"/>
      <c r="E68" s="251"/>
      <c r="F68" s="283"/>
      <c r="G68" s="90"/>
      <c r="H68" s="6"/>
      <c r="I68" s="3"/>
      <c r="J68" s="257"/>
      <c r="K68" s="20"/>
      <c r="L68" s="190"/>
    </row>
    <row r="69" spans="1:12" ht="15.75" thickBot="1">
      <c r="A69" s="299"/>
      <c r="B69" s="282"/>
      <c r="C69" s="280"/>
      <c r="D69" s="284"/>
      <c r="E69" s="286"/>
      <c r="F69" s="284"/>
      <c r="G69" s="146"/>
      <c r="H69" s="7"/>
      <c r="I69" s="4"/>
      <c r="J69" s="258"/>
      <c r="K69" s="67"/>
      <c r="L69" s="191"/>
    </row>
    <row r="70" spans="1:12">
      <c r="A70" s="305" t="s">
        <v>106</v>
      </c>
      <c r="B70" s="206" t="s">
        <v>13</v>
      </c>
      <c r="C70" s="206" t="s">
        <v>78</v>
      </c>
      <c r="D70" s="219" t="s">
        <v>79</v>
      </c>
      <c r="E70" s="235" t="s">
        <v>219</v>
      </c>
      <c r="F70" s="219" t="s">
        <v>172</v>
      </c>
      <c r="G70" s="95">
        <v>1</v>
      </c>
      <c r="H70" s="38" t="s">
        <v>24</v>
      </c>
      <c r="I70" s="45" t="s">
        <v>27</v>
      </c>
      <c r="J70" s="241" t="s">
        <v>15</v>
      </c>
      <c r="K70" s="46" t="s">
        <v>7</v>
      </c>
      <c r="L70" s="192" t="s">
        <v>226</v>
      </c>
    </row>
    <row r="71" spans="1:12" ht="45">
      <c r="A71" s="205"/>
      <c r="B71" s="207"/>
      <c r="C71" s="208"/>
      <c r="D71" s="210"/>
      <c r="E71" s="212"/>
      <c r="F71" s="220"/>
      <c r="G71" s="96">
        <v>2</v>
      </c>
      <c r="H71" s="38" t="s">
        <v>65</v>
      </c>
      <c r="I71" s="45" t="s">
        <v>12</v>
      </c>
      <c r="J71" s="218"/>
      <c r="K71" s="47" t="s">
        <v>7</v>
      </c>
      <c r="L71" s="193"/>
    </row>
    <row r="72" spans="1:12">
      <c r="A72" s="205"/>
      <c r="B72" s="207"/>
      <c r="C72" s="208"/>
      <c r="D72" s="210"/>
      <c r="E72" s="212"/>
      <c r="F72" s="220"/>
      <c r="G72" s="97">
        <v>3</v>
      </c>
      <c r="H72" s="38" t="s">
        <v>66</v>
      </c>
      <c r="I72" s="45" t="s">
        <v>73</v>
      </c>
      <c r="J72" s="218"/>
      <c r="K72" s="47" t="s">
        <v>7</v>
      </c>
      <c r="L72" s="193"/>
    </row>
    <row r="73" spans="1:12" ht="29.25" customHeight="1">
      <c r="A73" s="205"/>
      <c r="B73" s="207"/>
      <c r="C73" s="208"/>
      <c r="D73" s="210"/>
      <c r="E73" s="212"/>
      <c r="F73" s="220"/>
      <c r="G73" s="97">
        <v>4</v>
      </c>
      <c r="H73" s="38" t="s">
        <v>68</v>
      </c>
      <c r="I73" s="45" t="s">
        <v>12</v>
      </c>
      <c r="J73" s="218"/>
      <c r="K73" s="47" t="s">
        <v>7</v>
      </c>
      <c r="L73" s="193"/>
    </row>
    <row r="74" spans="1:12" ht="30">
      <c r="A74" s="205"/>
      <c r="B74" s="207"/>
      <c r="C74" s="208"/>
      <c r="D74" s="210"/>
      <c r="E74" s="212"/>
      <c r="F74" s="220"/>
      <c r="G74" s="97">
        <v>5</v>
      </c>
      <c r="H74" s="38" t="s">
        <v>67</v>
      </c>
      <c r="I74" s="45" t="s">
        <v>74</v>
      </c>
      <c r="J74" s="218"/>
      <c r="K74" s="47" t="s">
        <v>7</v>
      </c>
      <c r="L74" s="193"/>
    </row>
    <row r="75" spans="1:12" ht="30">
      <c r="A75" s="205"/>
      <c r="B75" s="207"/>
      <c r="C75" s="208"/>
      <c r="D75" s="210"/>
      <c r="E75" s="212"/>
      <c r="F75" s="220"/>
      <c r="G75" s="97">
        <v>6</v>
      </c>
      <c r="H75" s="38" t="s">
        <v>69</v>
      </c>
      <c r="I75" s="45" t="s">
        <v>12</v>
      </c>
      <c r="J75" s="218"/>
      <c r="K75" s="47" t="s">
        <v>7</v>
      </c>
      <c r="L75" s="193"/>
    </row>
    <row r="76" spans="1:12" ht="30">
      <c r="A76" s="205"/>
      <c r="B76" s="207"/>
      <c r="C76" s="208"/>
      <c r="D76" s="210"/>
      <c r="E76" s="212"/>
      <c r="F76" s="220"/>
      <c r="G76" s="98">
        <v>7</v>
      </c>
      <c r="H76" s="38" t="s">
        <v>70</v>
      </c>
      <c r="I76" s="45" t="s">
        <v>75</v>
      </c>
      <c r="J76" s="218"/>
      <c r="K76" s="47" t="s">
        <v>7</v>
      </c>
      <c r="L76" s="193"/>
    </row>
    <row r="77" spans="1:12" ht="30">
      <c r="A77" s="205"/>
      <c r="B77" s="207"/>
      <c r="C77" s="208"/>
      <c r="D77" s="210"/>
      <c r="E77" s="212"/>
      <c r="F77" s="220"/>
      <c r="G77" s="97">
        <v>8</v>
      </c>
      <c r="H77" s="38" t="s">
        <v>71</v>
      </c>
      <c r="I77" s="45" t="s">
        <v>76</v>
      </c>
      <c r="J77" s="218"/>
      <c r="K77" s="47" t="s">
        <v>7</v>
      </c>
      <c r="L77" s="193"/>
    </row>
    <row r="78" spans="1:12" ht="60.75" thickBot="1">
      <c r="A78" s="306"/>
      <c r="B78" s="307"/>
      <c r="C78" s="308"/>
      <c r="D78" s="309"/>
      <c r="E78" s="310"/>
      <c r="F78" s="317"/>
      <c r="G78" s="99">
        <v>9</v>
      </c>
      <c r="H78" s="48" t="s">
        <v>72</v>
      </c>
      <c r="I78" s="49" t="s">
        <v>77</v>
      </c>
      <c r="J78" s="262"/>
      <c r="K78" s="44" t="s">
        <v>7</v>
      </c>
      <c r="L78" s="194"/>
    </row>
    <row r="79" spans="1:12">
      <c r="A79" s="297" t="s">
        <v>107</v>
      </c>
      <c r="B79" s="223" t="s">
        <v>13</v>
      </c>
      <c r="C79" s="223" t="s">
        <v>212</v>
      </c>
      <c r="D79" s="300" t="s">
        <v>80</v>
      </c>
      <c r="E79" s="301" t="s">
        <v>216</v>
      </c>
      <c r="F79" s="300" t="s">
        <v>176</v>
      </c>
      <c r="G79" s="92">
        <v>1</v>
      </c>
      <c r="H79" s="6" t="s">
        <v>217</v>
      </c>
      <c r="I79" s="3" t="s">
        <v>27</v>
      </c>
      <c r="J79" s="256" t="s">
        <v>14</v>
      </c>
      <c r="K79" s="53" t="s">
        <v>7</v>
      </c>
      <c r="L79" s="189" t="s">
        <v>226</v>
      </c>
    </row>
    <row r="80" spans="1:12" ht="60">
      <c r="A80" s="298"/>
      <c r="B80" s="281"/>
      <c r="C80" s="279"/>
      <c r="D80" s="283"/>
      <c r="E80" s="251"/>
      <c r="F80" s="283"/>
      <c r="G80" s="89">
        <v>2</v>
      </c>
      <c r="H80" s="6" t="s">
        <v>58</v>
      </c>
      <c r="I80" s="3" t="s">
        <v>62</v>
      </c>
      <c r="J80" s="257"/>
      <c r="K80" s="20" t="s">
        <v>7</v>
      </c>
      <c r="L80" s="190"/>
    </row>
    <row r="81" spans="1:12" ht="30" customHeight="1">
      <c r="A81" s="298"/>
      <c r="B81" s="281"/>
      <c r="C81" s="279"/>
      <c r="D81" s="283"/>
      <c r="E81" s="251"/>
      <c r="F81" s="283"/>
      <c r="G81" s="90">
        <v>3</v>
      </c>
      <c r="H81" s="6" t="s">
        <v>59</v>
      </c>
      <c r="I81" s="3" t="s">
        <v>63</v>
      </c>
      <c r="J81" s="257"/>
      <c r="K81" s="20" t="s">
        <v>7</v>
      </c>
      <c r="L81" s="190"/>
    </row>
    <row r="82" spans="1:12" ht="45">
      <c r="A82" s="298"/>
      <c r="B82" s="281"/>
      <c r="C82" s="279"/>
      <c r="D82" s="283"/>
      <c r="E82" s="251"/>
      <c r="F82" s="283"/>
      <c r="G82" s="90">
        <v>4</v>
      </c>
      <c r="H82" s="6" t="s">
        <v>81</v>
      </c>
      <c r="I82" s="3" t="s">
        <v>83</v>
      </c>
      <c r="J82" s="257"/>
      <c r="K82" s="20" t="s">
        <v>7</v>
      </c>
      <c r="L82" s="190"/>
    </row>
    <row r="83" spans="1:12">
      <c r="A83" s="298"/>
      <c r="B83" s="281"/>
      <c r="C83" s="279"/>
      <c r="D83" s="283"/>
      <c r="E83" s="251"/>
      <c r="F83" s="283"/>
      <c r="G83" s="90">
        <v>5</v>
      </c>
      <c r="H83" s="6" t="s">
        <v>82</v>
      </c>
      <c r="I83" s="3" t="s">
        <v>84</v>
      </c>
      <c r="J83" s="257"/>
      <c r="K83" s="20" t="s">
        <v>7</v>
      </c>
      <c r="L83" s="190"/>
    </row>
    <row r="84" spans="1:12" ht="30">
      <c r="A84" s="298"/>
      <c r="B84" s="281"/>
      <c r="C84" s="279"/>
      <c r="D84" s="283"/>
      <c r="E84" s="251"/>
      <c r="F84" s="283"/>
      <c r="G84" s="90">
        <v>6</v>
      </c>
      <c r="H84" s="6" t="s">
        <v>60</v>
      </c>
      <c r="I84" s="3" t="s">
        <v>12</v>
      </c>
      <c r="J84" s="257"/>
      <c r="K84" s="20" t="s">
        <v>7</v>
      </c>
      <c r="L84" s="190"/>
    </row>
    <row r="85" spans="1:12" ht="30">
      <c r="A85" s="298"/>
      <c r="B85" s="281"/>
      <c r="C85" s="279"/>
      <c r="D85" s="283"/>
      <c r="E85" s="251"/>
      <c r="F85" s="283"/>
      <c r="G85" s="90">
        <v>7</v>
      </c>
      <c r="H85" s="6" t="s">
        <v>61</v>
      </c>
      <c r="I85" s="3" t="s">
        <v>85</v>
      </c>
      <c r="J85" s="257"/>
      <c r="K85" s="20" t="s">
        <v>7</v>
      </c>
      <c r="L85" s="190"/>
    </row>
    <row r="86" spans="1:12" ht="15.75" thickBot="1">
      <c r="A86" s="299"/>
      <c r="B86" s="282"/>
      <c r="C86" s="280"/>
      <c r="D86" s="284"/>
      <c r="E86" s="286"/>
      <c r="F86" s="284"/>
      <c r="G86" s="146"/>
      <c r="H86" s="7"/>
      <c r="I86" s="4"/>
      <c r="J86" s="258"/>
      <c r="K86" s="21"/>
      <c r="L86" s="191"/>
    </row>
    <row r="87" spans="1:12" ht="30">
      <c r="A87" s="204" t="s">
        <v>108</v>
      </c>
      <c r="B87" s="206" t="s">
        <v>10</v>
      </c>
      <c r="C87" s="206" t="s">
        <v>136</v>
      </c>
      <c r="D87" s="209" t="s">
        <v>112</v>
      </c>
      <c r="E87" s="211" t="s">
        <v>218</v>
      </c>
      <c r="F87" s="209" t="s">
        <v>174</v>
      </c>
      <c r="G87" s="95">
        <v>1</v>
      </c>
      <c r="H87" s="38" t="s">
        <v>113</v>
      </c>
      <c r="I87" s="39" t="s">
        <v>27</v>
      </c>
      <c r="J87" s="217" t="s">
        <v>15</v>
      </c>
      <c r="K87" s="41" t="s">
        <v>7</v>
      </c>
      <c r="L87" s="186" t="s">
        <v>227</v>
      </c>
    </row>
    <row r="88" spans="1:12" ht="30">
      <c r="A88" s="205"/>
      <c r="B88" s="207"/>
      <c r="C88" s="208"/>
      <c r="D88" s="210"/>
      <c r="E88" s="212"/>
      <c r="F88" s="210"/>
      <c r="G88" s="96">
        <v>2</v>
      </c>
      <c r="H88" s="38" t="s">
        <v>115</v>
      </c>
      <c r="I88" s="39" t="s">
        <v>120</v>
      </c>
      <c r="J88" s="218"/>
      <c r="K88" s="42" t="s">
        <v>7</v>
      </c>
      <c r="L88" s="187"/>
    </row>
    <row r="89" spans="1:12" ht="30">
      <c r="A89" s="205"/>
      <c r="B89" s="207"/>
      <c r="C89" s="208"/>
      <c r="D89" s="210"/>
      <c r="E89" s="212"/>
      <c r="F89" s="210"/>
      <c r="G89" s="97">
        <v>3</v>
      </c>
      <c r="H89" s="38" t="s">
        <v>116</v>
      </c>
      <c r="I89" s="39" t="s">
        <v>121</v>
      </c>
      <c r="J89" s="218"/>
      <c r="K89" s="42" t="s">
        <v>7</v>
      </c>
      <c r="L89" s="187"/>
    </row>
    <row r="90" spans="1:12" ht="45">
      <c r="A90" s="205"/>
      <c r="B90" s="207"/>
      <c r="C90" s="208"/>
      <c r="D90" s="210"/>
      <c r="E90" s="212"/>
      <c r="F90" s="210"/>
      <c r="G90" s="98">
        <v>4</v>
      </c>
      <c r="H90" s="38" t="s">
        <v>122</v>
      </c>
      <c r="I90" s="39" t="s">
        <v>123</v>
      </c>
      <c r="J90" s="218"/>
      <c r="K90" s="42" t="s">
        <v>7</v>
      </c>
      <c r="L90" s="187"/>
    </row>
    <row r="91" spans="1:12" ht="30">
      <c r="A91" s="205"/>
      <c r="B91" s="207"/>
      <c r="C91" s="208"/>
      <c r="D91" s="210"/>
      <c r="E91" s="212"/>
      <c r="F91" s="210"/>
      <c r="G91" s="97">
        <v>5</v>
      </c>
      <c r="H91" s="38" t="s">
        <v>114</v>
      </c>
      <c r="I91" s="39" t="s">
        <v>83</v>
      </c>
      <c r="J91" s="218"/>
      <c r="K91" s="42" t="s">
        <v>7</v>
      </c>
      <c r="L91" s="187"/>
    </row>
    <row r="92" spans="1:12" ht="30">
      <c r="A92" s="205"/>
      <c r="B92" s="207"/>
      <c r="C92" s="208"/>
      <c r="D92" s="210"/>
      <c r="E92" s="212"/>
      <c r="F92" s="210"/>
      <c r="G92" s="97">
        <v>6</v>
      </c>
      <c r="H92" s="38" t="s">
        <v>117</v>
      </c>
      <c r="I92" s="39" t="s">
        <v>124</v>
      </c>
      <c r="J92" s="218"/>
      <c r="K92" s="42" t="s">
        <v>7</v>
      </c>
      <c r="L92" s="187"/>
    </row>
    <row r="93" spans="1:12" ht="30">
      <c r="A93" s="205"/>
      <c r="B93" s="207"/>
      <c r="C93" s="208"/>
      <c r="D93" s="210"/>
      <c r="E93" s="212"/>
      <c r="F93" s="210"/>
      <c r="G93" s="97">
        <v>7</v>
      </c>
      <c r="H93" s="38" t="s">
        <v>132</v>
      </c>
      <c r="I93" s="39" t="s">
        <v>121</v>
      </c>
      <c r="J93" s="218"/>
      <c r="K93" s="42" t="s">
        <v>7</v>
      </c>
      <c r="L93" s="187"/>
    </row>
    <row r="94" spans="1:12" ht="45.75" thickBot="1">
      <c r="A94" s="205"/>
      <c r="B94" s="207"/>
      <c r="C94" s="208"/>
      <c r="D94" s="210"/>
      <c r="E94" s="212"/>
      <c r="F94" s="210"/>
      <c r="G94" s="98">
        <v>8</v>
      </c>
      <c r="H94" s="138" t="s">
        <v>133</v>
      </c>
      <c r="I94" s="139" t="s">
        <v>134</v>
      </c>
      <c r="J94" s="218"/>
      <c r="K94" s="36" t="s">
        <v>135</v>
      </c>
      <c r="L94" s="188"/>
    </row>
    <row r="95" spans="1:12" ht="69" customHeight="1">
      <c r="A95" s="214" t="s">
        <v>109</v>
      </c>
      <c r="B95" s="223" t="s">
        <v>10</v>
      </c>
      <c r="C95" s="223" t="s">
        <v>119</v>
      </c>
      <c r="D95" s="226" t="s">
        <v>137</v>
      </c>
      <c r="E95" s="229" t="s">
        <v>215</v>
      </c>
      <c r="F95" s="226" t="s">
        <v>175</v>
      </c>
      <c r="G95" s="92">
        <v>1</v>
      </c>
      <c r="H95" s="6" t="s">
        <v>113</v>
      </c>
      <c r="I95" s="33" t="s">
        <v>27</v>
      </c>
      <c r="J95" s="232" t="s">
        <v>11</v>
      </c>
      <c r="K95" s="34" t="s">
        <v>7</v>
      </c>
      <c r="L95" s="186" t="s">
        <v>227</v>
      </c>
    </row>
    <row r="96" spans="1:12" ht="32.25" customHeight="1">
      <c r="A96" s="215"/>
      <c r="B96" s="224"/>
      <c r="C96" s="224"/>
      <c r="D96" s="227"/>
      <c r="E96" s="230"/>
      <c r="F96" s="227"/>
      <c r="G96" s="89">
        <v>2</v>
      </c>
      <c r="H96" s="6" t="s">
        <v>115</v>
      </c>
      <c r="I96" s="33" t="s">
        <v>120</v>
      </c>
      <c r="J96" s="233"/>
      <c r="K96" s="35" t="s">
        <v>7</v>
      </c>
      <c r="L96" s="187"/>
    </row>
    <row r="97" spans="1:12" ht="27.75" customHeight="1">
      <c r="A97" s="215"/>
      <c r="B97" s="224"/>
      <c r="C97" s="224"/>
      <c r="D97" s="227"/>
      <c r="E97" s="230"/>
      <c r="F97" s="227"/>
      <c r="G97" s="90">
        <v>3</v>
      </c>
      <c r="H97" s="6" t="s">
        <v>116</v>
      </c>
      <c r="I97" s="33" t="s">
        <v>121</v>
      </c>
      <c r="J97" s="233"/>
      <c r="K97" s="35" t="s">
        <v>7</v>
      </c>
      <c r="L97" s="187"/>
    </row>
    <row r="98" spans="1:12" ht="32.25" customHeight="1">
      <c r="A98" s="215"/>
      <c r="B98" s="224"/>
      <c r="C98" s="224"/>
      <c r="D98" s="227"/>
      <c r="E98" s="230"/>
      <c r="F98" s="227"/>
      <c r="G98" s="93">
        <v>4</v>
      </c>
      <c r="H98" s="6" t="s">
        <v>122</v>
      </c>
      <c r="I98" s="33" t="s">
        <v>123</v>
      </c>
      <c r="J98" s="233"/>
      <c r="K98" s="35" t="s">
        <v>7</v>
      </c>
      <c r="L98" s="187"/>
    </row>
    <row r="99" spans="1:12" ht="30">
      <c r="A99" s="215"/>
      <c r="B99" s="224"/>
      <c r="C99" s="224"/>
      <c r="D99" s="227"/>
      <c r="E99" s="230"/>
      <c r="F99" s="227"/>
      <c r="G99" s="90">
        <v>5</v>
      </c>
      <c r="H99" s="6" t="s">
        <v>114</v>
      </c>
      <c r="I99" s="33" t="s">
        <v>83</v>
      </c>
      <c r="J99" s="233"/>
      <c r="K99" s="35" t="s">
        <v>7</v>
      </c>
      <c r="L99" s="187"/>
    </row>
    <row r="100" spans="1:12" ht="30">
      <c r="A100" s="215"/>
      <c r="B100" s="224"/>
      <c r="C100" s="224"/>
      <c r="D100" s="227"/>
      <c r="E100" s="230"/>
      <c r="F100" s="227"/>
      <c r="G100" s="90">
        <v>6</v>
      </c>
      <c r="H100" s="6" t="s">
        <v>117</v>
      </c>
      <c r="I100" s="33" t="s">
        <v>124</v>
      </c>
      <c r="J100" s="233"/>
      <c r="K100" s="35" t="s">
        <v>7</v>
      </c>
      <c r="L100" s="187"/>
    </row>
    <row r="101" spans="1:12" ht="60">
      <c r="A101" s="215"/>
      <c r="B101" s="224"/>
      <c r="C101" s="224"/>
      <c r="D101" s="227"/>
      <c r="E101" s="230"/>
      <c r="F101" s="227"/>
      <c r="G101" s="90">
        <v>7</v>
      </c>
      <c r="H101" s="6" t="s">
        <v>235</v>
      </c>
      <c r="I101" s="33" t="s">
        <v>125</v>
      </c>
      <c r="J101" s="233"/>
      <c r="K101" s="35" t="s">
        <v>7</v>
      </c>
      <c r="L101" s="187"/>
    </row>
    <row r="102" spans="1:12" ht="30">
      <c r="A102" s="215"/>
      <c r="B102" s="224"/>
      <c r="C102" s="224"/>
      <c r="D102" s="227"/>
      <c r="E102" s="230"/>
      <c r="F102" s="227"/>
      <c r="G102" s="93">
        <v>8</v>
      </c>
      <c r="H102" s="6" t="s">
        <v>118</v>
      </c>
      <c r="I102" s="33" t="s">
        <v>126</v>
      </c>
      <c r="J102" s="233"/>
      <c r="K102" s="147" t="s">
        <v>7</v>
      </c>
      <c r="L102" s="187"/>
    </row>
    <row r="103" spans="1:12" ht="30">
      <c r="A103" s="215"/>
      <c r="B103" s="224"/>
      <c r="C103" s="224"/>
      <c r="D103" s="227"/>
      <c r="E103" s="230"/>
      <c r="F103" s="227"/>
      <c r="G103" s="90">
        <v>9</v>
      </c>
      <c r="H103" s="6" t="s">
        <v>127</v>
      </c>
      <c r="I103" s="33" t="s">
        <v>128</v>
      </c>
      <c r="J103" s="233"/>
      <c r="K103" s="35" t="s">
        <v>7</v>
      </c>
      <c r="L103" s="187"/>
    </row>
    <row r="104" spans="1:12" ht="30">
      <c r="A104" s="215"/>
      <c r="B104" s="224"/>
      <c r="C104" s="224"/>
      <c r="D104" s="227"/>
      <c r="E104" s="230"/>
      <c r="F104" s="227"/>
      <c r="G104" s="93">
        <v>10</v>
      </c>
      <c r="H104" s="6" t="s">
        <v>130</v>
      </c>
      <c r="I104" s="33" t="s">
        <v>131</v>
      </c>
      <c r="J104" s="233"/>
      <c r="K104" s="35" t="s">
        <v>7</v>
      </c>
      <c r="L104" s="187"/>
    </row>
    <row r="105" spans="1:12" ht="30">
      <c r="A105" s="215"/>
      <c r="B105" s="224"/>
      <c r="C105" s="224"/>
      <c r="D105" s="227"/>
      <c r="E105" s="230"/>
      <c r="F105" s="227"/>
      <c r="G105" s="90">
        <v>11</v>
      </c>
      <c r="H105" s="6" t="s">
        <v>138</v>
      </c>
      <c r="I105" s="33" t="s">
        <v>129</v>
      </c>
      <c r="J105" s="233"/>
      <c r="K105" s="37" t="s">
        <v>135</v>
      </c>
      <c r="L105" s="187"/>
    </row>
    <row r="106" spans="1:12">
      <c r="A106" s="215"/>
      <c r="B106" s="224"/>
      <c r="C106" s="224"/>
      <c r="D106" s="227"/>
      <c r="E106" s="230"/>
      <c r="F106" s="227"/>
      <c r="G106" s="93"/>
      <c r="H106" s="24"/>
      <c r="I106" s="33"/>
      <c r="J106" s="233"/>
      <c r="K106" s="53"/>
      <c r="L106" s="187"/>
    </row>
    <row r="107" spans="1:12" ht="30" customHeight="1" thickBot="1">
      <c r="A107" s="216"/>
      <c r="B107" s="225"/>
      <c r="C107" s="225"/>
      <c r="D107" s="228"/>
      <c r="E107" s="231"/>
      <c r="F107" s="228"/>
      <c r="G107" s="94"/>
      <c r="H107" s="68"/>
      <c r="I107" s="148"/>
      <c r="J107" s="234"/>
      <c r="K107" s="21"/>
      <c r="L107" s="188"/>
    </row>
    <row r="108" spans="1:12" ht="30">
      <c r="A108" s="204" t="s">
        <v>110</v>
      </c>
      <c r="B108" s="206" t="s">
        <v>13</v>
      </c>
      <c r="C108" s="206" t="s">
        <v>139</v>
      </c>
      <c r="D108" s="209" t="s">
        <v>184</v>
      </c>
      <c r="E108" s="211" t="s">
        <v>220</v>
      </c>
      <c r="F108" s="209" t="s">
        <v>174</v>
      </c>
      <c r="G108" s="95">
        <v>1</v>
      </c>
      <c r="H108" s="38" t="s">
        <v>113</v>
      </c>
      <c r="I108" s="39" t="s">
        <v>27</v>
      </c>
      <c r="J108" s="237" t="s">
        <v>11</v>
      </c>
      <c r="K108" s="41" t="s">
        <v>7</v>
      </c>
      <c r="L108" s="186" t="s">
        <v>227</v>
      </c>
    </row>
    <row r="109" spans="1:12" ht="30">
      <c r="A109" s="213"/>
      <c r="B109" s="239"/>
      <c r="C109" s="239"/>
      <c r="D109" s="236"/>
      <c r="E109" s="259"/>
      <c r="F109" s="236"/>
      <c r="G109" s="96">
        <v>2</v>
      </c>
      <c r="H109" s="38" t="s">
        <v>140</v>
      </c>
      <c r="I109" s="39" t="s">
        <v>121</v>
      </c>
      <c r="J109" s="238"/>
      <c r="K109" s="42" t="s">
        <v>7</v>
      </c>
      <c r="L109" s="187"/>
    </row>
    <row r="110" spans="1:12" ht="30">
      <c r="A110" s="213"/>
      <c r="B110" s="239"/>
      <c r="C110" s="239"/>
      <c r="D110" s="236"/>
      <c r="E110" s="259"/>
      <c r="F110" s="236"/>
      <c r="G110" s="97">
        <v>3</v>
      </c>
      <c r="H110" s="38" t="s">
        <v>141</v>
      </c>
      <c r="I110" s="39" t="s">
        <v>143</v>
      </c>
      <c r="J110" s="238"/>
      <c r="K110" s="42" t="s">
        <v>7</v>
      </c>
      <c r="L110" s="187"/>
    </row>
    <row r="111" spans="1:12" ht="30">
      <c r="A111" s="213"/>
      <c r="B111" s="239"/>
      <c r="C111" s="239"/>
      <c r="D111" s="236"/>
      <c r="E111" s="259"/>
      <c r="F111" s="236"/>
      <c r="G111" s="96">
        <v>4</v>
      </c>
      <c r="H111" s="38" t="s">
        <v>142</v>
      </c>
      <c r="I111" s="39" t="s">
        <v>121</v>
      </c>
      <c r="J111" s="238"/>
      <c r="K111" s="42" t="s">
        <v>7</v>
      </c>
      <c r="L111" s="187"/>
    </row>
    <row r="112" spans="1:12" ht="30">
      <c r="A112" s="213"/>
      <c r="B112" s="239"/>
      <c r="C112" s="239"/>
      <c r="D112" s="236"/>
      <c r="E112" s="259"/>
      <c r="F112" s="236"/>
      <c r="G112" s="97">
        <v>5</v>
      </c>
      <c r="H112" s="38" t="s">
        <v>144</v>
      </c>
      <c r="I112" s="39" t="s">
        <v>145</v>
      </c>
      <c r="J112" s="238"/>
      <c r="K112" s="42" t="s">
        <v>7</v>
      </c>
      <c r="L112" s="187"/>
    </row>
    <row r="113" spans="1:12" ht="30">
      <c r="A113" s="213"/>
      <c r="B113" s="239"/>
      <c r="C113" s="239"/>
      <c r="D113" s="236"/>
      <c r="E113" s="259"/>
      <c r="F113" s="236"/>
      <c r="G113" s="96">
        <v>5</v>
      </c>
      <c r="H113" s="38" t="s">
        <v>114</v>
      </c>
      <c r="I113" s="39" t="s">
        <v>83</v>
      </c>
      <c r="J113" s="238"/>
      <c r="K113" s="42" t="s">
        <v>7</v>
      </c>
      <c r="L113" s="187"/>
    </row>
    <row r="114" spans="1:12" ht="30">
      <c r="A114" s="213"/>
      <c r="B114" s="239"/>
      <c r="C114" s="239"/>
      <c r="D114" s="236"/>
      <c r="E114" s="259"/>
      <c r="F114" s="236"/>
      <c r="G114" s="96">
        <v>6</v>
      </c>
      <c r="H114" s="38" t="s">
        <v>234</v>
      </c>
      <c r="I114" s="39" t="s">
        <v>124</v>
      </c>
      <c r="J114" s="238"/>
      <c r="K114" s="42" t="s">
        <v>7</v>
      </c>
      <c r="L114" s="187"/>
    </row>
    <row r="115" spans="1:12" ht="30">
      <c r="A115" s="213"/>
      <c r="B115" s="239"/>
      <c r="C115" s="239"/>
      <c r="D115" s="236"/>
      <c r="E115" s="259"/>
      <c r="F115" s="236"/>
      <c r="G115" s="97">
        <v>7</v>
      </c>
      <c r="H115" s="38" t="s">
        <v>132</v>
      </c>
      <c r="I115" s="39" t="s">
        <v>121</v>
      </c>
      <c r="J115" s="238"/>
      <c r="K115" s="42" t="s">
        <v>7</v>
      </c>
      <c r="L115" s="187"/>
    </row>
    <row r="116" spans="1:12" ht="45.75" thickBot="1">
      <c r="A116" s="213"/>
      <c r="B116" s="239"/>
      <c r="C116" s="239"/>
      <c r="D116" s="236"/>
      <c r="E116" s="259"/>
      <c r="F116" s="236"/>
      <c r="G116" s="97">
        <v>8</v>
      </c>
      <c r="H116" s="138" t="s">
        <v>133</v>
      </c>
      <c r="I116" s="139" t="s">
        <v>146</v>
      </c>
      <c r="J116" s="238"/>
      <c r="K116" s="36" t="s">
        <v>135</v>
      </c>
      <c r="L116" s="188"/>
    </row>
    <row r="117" spans="1:12">
      <c r="A117" s="214" t="s">
        <v>111</v>
      </c>
      <c r="B117" s="223" t="s">
        <v>13</v>
      </c>
      <c r="C117" s="223" t="s">
        <v>22</v>
      </c>
      <c r="D117" s="300" t="s">
        <v>86</v>
      </c>
      <c r="E117" s="302" t="s">
        <v>214</v>
      </c>
      <c r="F117" s="300" t="s">
        <v>173</v>
      </c>
      <c r="G117" s="92">
        <v>1</v>
      </c>
      <c r="H117" s="6" t="s">
        <v>24</v>
      </c>
      <c r="I117" s="3" t="s">
        <v>27</v>
      </c>
      <c r="J117" s="256" t="s">
        <v>11</v>
      </c>
      <c r="K117" s="19" t="s">
        <v>7</v>
      </c>
      <c r="L117" s="189" t="s">
        <v>226</v>
      </c>
    </row>
    <row r="118" spans="1:12" ht="60">
      <c r="A118" s="298"/>
      <c r="B118" s="281"/>
      <c r="C118" s="279"/>
      <c r="D118" s="283"/>
      <c r="E118" s="303"/>
      <c r="F118" s="315"/>
      <c r="G118" s="89">
        <v>2</v>
      </c>
      <c r="H118" s="6" t="s">
        <v>58</v>
      </c>
      <c r="I118" s="3" t="s">
        <v>62</v>
      </c>
      <c r="J118" s="257"/>
      <c r="K118" s="20" t="s">
        <v>7</v>
      </c>
      <c r="L118" s="190"/>
    </row>
    <row r="119" spans="1:12" ht="30">
      <c r="A119" s="298"/>
      <c r="B119" s="281"/>
      <c r="C119" s="279"/>
      <c r="D119" s="283"/>
      <c r="E119" s="303"/>
      <c r="F119" s="315"/>
      <c r="G119" s="90">
        <v>3</v>
      </c>
      <c r="H119" s="6" t="s">
        <v>59</v>
      </c>
      <c r="I119" s="3" t="s">
        <v>63</v>
      </c>
      <c r="J119" s="257"/>
      <c r="K119" s="20" t="s">
        <v>7</v>
      </c>
      <c r="L119" s="190"/>
    </row>
    <row r="120" spans="1:12" ht="45">
      <c r="A120" s="298"/>
      <c r="B120" s="281"/>
      <c r="C120" s="279"/>
      <c r="D120" s="283"/>
      <c r="E120" s="303"/>
      <c r="F120" s="315"/>
      <c r="G120" s="90">
        <v>4</v>
      </c>
      <c r="H120" s="6" t="s">
        <v>87</v>
      </c>
      <c r="I120" s="3" t="s">
        <v>89</v>
      </c>
      <c r="J120" s="257"/>
      <c r="K120" s="20" t="s">
        <v>7</v>
      </c>
      <c r="L120" s="190"/>
    </row>
    <row r="121" spans="1:12" ht="30">
      <c r="A121" s="298"/>
      <c r="B121" s="281"/>
      <c r="C121" s="279"/>
      <c r="D121" s="283"/>
      <c r="E121" s="303"/>
      <c r="F121" s="315"/>
      <c r="G121" s="90">
        <v>5</v>
      </c>
      <c r="H121" s="6" t="s">
        <v>88</v>
      </c>
      <c r="I121" s="3" t="s">
        <v>90</v>
      </c>
      <c r="J121" s="257"/>
      <c r="K121" s="20" t="s">
        <v>7</v>
      </c>
      <c r="L121" s="190"/>
    </row>
    <row r="122" spans="1:12" ht="30">
      <c r="A122" s="298"/>
      <c r="B122" s="281"/>
      <c r="C122" s="279"/>
      <c r="D122" s="283"/>
      <c r="E122" s="303"/>
      <c r="F122" s="315"/>
      <c r="G122" s="90">
        <v>6</v>
      </c>
      <c r="H122" s="6" t="s">
        <v>60</v>
      </c>
      <c r="I122" s="3" t="s">
        <v>12</v>
      </c>
      <c r="J122" s="257"/>
      <c r="K122" s="20" t="s">
        <v>7</v>
      </c>
      <c r="L122" s="190"/>
    </row>
    <row r="123" spans="1:12" ht="60">
      <c r="A123" s="298"/>
      <c r="B123" s="281"/>
      <c r="C123" s="279"/>
      <c r="D123" s="283"/>
      <c r="E123" s="303"/>
      <c r="F123" s="315"/>
      <c r="G123" s="90">
        <v>7</v>
      </c>
      <c r="H123" s="6" t="s">
        <v>61</v>
      </c>
      <c r="I123" s="3" t="s">
        <v>91</v>
      </c>
      <c r="J123" s="257"/>
      <c r="K123" s="20" t="s">
        <v>7</v>
      </c>
      <c r="L123" s="190"/>
    </row>
    <row r="124" spans="1:12" ht="15.75" thickBot="1">
      <c r="A124" s="299"/>
      <c r="B124" s="282"/>
      <c r="C124" s="280"/>
      <c r="D124" s="284"/>
      <c r="E124" s="304"/>
      <c r="F124" s="316"/>
      <c r="G124" s="146"/>
      <c r="H124" s="12"/>
      <c r="I124" s="13"/>
      <c r="J124" s="258"/>
      <c r="K124" s="21"/>
      <c r="L124" s="191"/>
    </row>
    <row r="125" spans="1:12" ht="30">
      <c r="A125" s="204" t="s">
        <v>147</v>
      </c>
      <c r="B125" s="221" t="s">
        <v>10</v>
      </c>
      <c r="C125" s="221" t="s">
        <v>21</v>
      </c>
      <c r="D125" s="219" t="s">
        <v>92</v>
      </c>
      <c r="E125" s="235" t="s">
        <v>219</v>
      </c>
      <c r="F125" s="219" t="s">
        <v>172</v>
      </c>
      <c r="G125" s="95">
        <v>1</v>
      </c>
      <c r="H125" s="106" t="s">
        <v>113</v>
      </c>
      <c r="I125" s="107" t="s">
        <v>27</v>
      </c>
      <c r="J125" s="192" t="s">
        <v>14</v>
      </c>
      <c r="K125" s="46" t="s">
        <v>7</v>
      </c>
      <c r="L125" s="195" t="s">
        <v>226</v>
      </c>
    </row>
    <row r="126" spans="1:12" ht="45">
      <c r="A126" s="213"/>
      <c r="B126" s="222"/>
      <c r="C126" s="222"/>
      <c r="D126" s="220"/>
      <c r="E126" s="212"/>
      <c r="F126" s="220"/>
      <c r="G126" s="96">
        <v>2</v>
      </c>
      <c r="H126" s="109" t="s">
        <v>221</v>
      </c>
      <c r="I126" s="110" t="s">
        <v>12</v>
      </c>
      <c r="J126" s="193"/>
      <c r="K126" s="47" t="s">
        <v>7</v>
      </c>
      <c r="L126" s="196"/>
    </row>
    <row r="127" spans="1:12" ht="30">
      <c r="A127" s="213"/>
      <c r="B127" s="222"/>
      <c r="C127" s="222"/>
      <c r="D127" s="220"/>
      <c r="E127" s="212"/>
      <c r="F127" s="220"/>
      <c r="G127" s="97">
        <v>3</v>
      </c>
      <c r="H127" s="109" t="s">
        <v>70</v>
      </c>
      <c r="I127" s="110" t="s">
        <v>95</v>
      </c>
      <c r="J127" s="193"/>
      <c r="K127" s="47" t="s">
        <v>7</v>
      </c>
      <c r="L127" s="196"/>
    </row>
    <row r="128" spans="1:12" ht="30">
      <c r="A128" s="213"/>
      <c r="B128" s="222"/>
      <c r="C128" s="222"/>
      <c r="D128" s="220"/>
      <c r="E128" s="212"/>
      <c r="F128" s="220"/>
      <c r="G128" s="97">
        <v>4</v>
      </c>
      <c r="H128" s="109" t="s">
        <v>93</v>
      </c>
      <c r="I128" s="110" t="s">
        <v>12</v>
      </c>
      <c r="J128" s="193"/>
      <c r="K128" s="47" t="s">
        <v>7</v>
      </c>
      <c r="L128" s="196"/>
    </row>
    <row r="129" spans="1:12">
      <c r="A129" s="213"/>
      <c r="B129" s="222"/>
      <c r="C129" s="222"/>
      <c r="D129" s="220"/>
      <c r="E129" s="212"/>
      <c r="F129" s="220"/>
      <c r="G129" s="97">
        <v>5</v>
      </c>
      <c r="H129" s="109" t="s">
        <v>94</v>
      </c>
      <c r="I129" s="110" t="s">
        <v>96</v>
      </c>
      <c r="J129" s="193"/>
      <c r="K129" s="47" t="s">
        <v>7</v>
      </c>
      <c r="L129" s="196"/>
    </row>
    <row r="130" spans="1:12" ht="15.75" thickBot="1">
      <c r="A130" s="213"/>
      <c r="B130" s="222"/>
      <c r="C130" s="222"/>
      <c r="D130" s="220"/>
      <c r="E130" s="212"/>
      <c r="F130" s="220"/>
      <c r="G130" s="104"/>
      <c r="H130" s="112"/>
      <c r="I130" s="113"/>
      <c r="J130" s="193"/>
      <c r="K130" s="52" t="s">
        <v>7</v>
      </c>
      <c r="L130" s="197"/>
    </row>
    <row r="131" spans="1:12">
      <c r="A131" s="371" t="s">
        <v>168</v>
      </c>
      <c r="B131" s="374" t="s">
        <v>10</v>
      </c>
      <c r="C131" s="374" t="s">
        <v>169</v>
      </c>
      <c r="D131" s="357" t="s">
        <v>170</v>
      </c>
      <c r="E131" s="377" t="s">
        <v>185</v>
      </c>
      <c r="F131" s="357" t="s">
        <v>171</v>
      </c>
      <c r="G131" s="100">
        <v>1</v>
      </c>
      <c r="H131" s="66" t="s">
        <v>24</v>
      </c>
      <c r="I131" s="3" t="s">
        <v>27</v>
      </c>
      <c r="J131" s="189" t="s">
        <v>11</v>
      </c>
      <c r="K131" s="19" t="s">
        <v>7</v>
      </c>
      <c r="L131" s="189" t="s">
        <v>226</v>
      </c>
    </row>
    <row r="132" spans="1:12" ht="30">
      <c r="A132" s="372"/>
      <c r="B132" s="375"/>
      <c r="C132" s="375"/>
      <c r="D132" s="315"/>
      <c r="E132" s="303"/>
      <c r="F132" s="315"/>
      <c r="G132" s="93">
        <v>2</v>
      </c>
      <c r="H132" s="6" t="s">
        <v>186</v>
      </c>
      <c r="I132" s="3" t="s">
        <v>121</v>
      </c>
      <c r="J132" s="190"/>
      <c r="K132" s="20" t="s">
        <v>7</v>
      </c>
      <c r="L132" s="190"/>
    </row>
    <row r="133" spans="1:12" ht="30.75" thickBot="1">
      <c r="A133" s="373"/>
      <c r="B133" s="376"/>
      <c r="C133" s="376"/>
      <c r="D133" s="358"/>
      <c r="E133" s="378"/>
      <c r="F133" s="358"/>
      <c r="G133" s="91">
        <v>3</v>
      </c>
      <c r="H133" s="12" t="s">
        <v>187</v>
      </c>
      <c r="I133" s="13" t="s">
        <v>188</v>
      </c>
      <c r="J133" s="191"/>
      <c r="K133" s="21" t="s">
        <v>7</v>
      </c>
      <c r="L133" s="191"/>
    </row>
    <row r="134" spans="1:12">
      <c r="A134" s="359" t="s">
        <v>189</v>
      </c>
      <c r="B134" s="362" t="s">
        <v>10</v>
      </c>
      <c r="C134" s="362" t="s">
        <v>190</v>
      </c>
      <c r="D134" s="364" t="s">
        <v>194</v>
      </c>
      <c r="E134" s="366" t="s">
        <v>185</v>
      </c>
      <c r="F134" s="368" t="s">
        <v>171</v>
      </c>
      <c r="G134" s="105">
        <v>1</v>
      </c>
      <c r="H134" s="106" t="s">
        <v>24</v>
      </c>
      <c r="I134" s="107" t="s">
        <v>27</v>
      </c>
      <c r="J134" s="192" t="s">
        <v>15</v>
      </c>
      <c r="K134" s="46" t="s">
        <v>7</v>
      </c>
      <c r="L134" s="195" t="s">
        <v>226</v>
      </c>
    </row>
    <row r="135" spans="1:12" ht="30">
      <c r="A135" s="360"/>
      <c r="B135" s="222"/>
      <c r="C135" s="222"/>
      <c r="D135" s="220"/>
      <c r="E135" s="212"/>
      <c r="F135" s="369"/>
      <c r="G135" s="108">
        <v>2</v>
      </c>
      <c r="H135" s="109" t="s">
        <v>186</v>
      </c>
      <c r="I135" s="110" t="s">
        <v>121</v>
      </c>
      <c r="J135" s="193"/>
      <c r="K135" s="43" t="s">
        <v>7</v>
      </c>
      <c r="L135" s="196"/>
    </row>
    <row r="136" spans="1:12" ht="30">
      <c r="A136" s="360"/>
      <c r="B136" s="222"/>
      <c r="C136" s="222"/>
      <c r="D136" s="220"/>
      <c r="E136" s="212"/>
      <c r="F136" s="369"/>
      <c r="G136" s="108">
        <v>3</v>
      </c>
      <c r="H136" s="109" t="s">
        <v>187</v>
      </c>
      <c r="I136" s="110" t="s">
        <v>188</v>
      </c>
      <c r="J136" s="193"/>
      <c r="K136" s="43" t="s">
        <v>7</v>
      </c>
      <c r="L136" s="196"/>
    </row>
    <row r="137" spans="1:12" ht="30">
      <c r="A137" s="360"/>
      <c r="B137" s="222"/>
      <c r="C137" s="222"/>
      <c r="D137" s="220"/>
      <c r="E137" s="212"/>
      <c r="F137" s="369"/>
      <c r="G137" s="108">
        <v>4</v>
      </c>
      <c r="H137" s="109" t="s">
        <v>191</v>
      </c>
      <c r="I137" s="110" t="s">
        <v>121</v>
      </c>
      <c r="J137" s="193"/>
      <c r="K137" s="43" t="s">
        <v>7</v>
      </c>
      <c r="L137" s="196"/>
    </row>
    <row r="138" spans="1:12" ht="30">
      <c r="A138" s="360"/>
      <c r="B138" s="222"/>
      <c r="C138" s="222"/>
      <c r="D138" s="220"/>
      <c r="E138" s="212"/>
      <c r="F138" s="369"/>
      <c r="G138" s="108">
        <v>5</v>
      </c>
      <c r="H138" s="109" t="s">
        <v>192</v>
      </c>
      <c r="I138" s="110" t="s">
        <v>193</v>
      </c>
      <c r="J138" s="193"/>
      <c r="K138" s="43" t="s">
        <v>7</v>
      </c>
      <c r="L138" s="196"/>
    </row>
    <row r="139" spans="1:12">
      <c r="A139" s="360"/>
      <c r="B139" s="222"/>
      <c r="C139" s="222"/>
      <c r="D139" s="220"/>
      <c r="E139" s="212"/>
      <c r="F139" s="369"/>
      <c r="G139" s="108"/>
      <c r="H139" s="109"/>
      <c r="I139" s="110"/>
      <c r="J139" s="193"/>
      <c r="K139" s="47"/>
      <c r="L139" s="196"/>
    </row>
    <row r="140" spans="1:12" ht="15.75" thickBot="1">
      <c r="A140" s="361"/>
      <c r="B140" s="363"/>
      <c r="C140" s="363"/>
      <c r="D140" s="365"/>
      <c r="E140" s="367"/>
      <c r="F140" s="370"/>
      <c r="G140" s="140"/>
      <c r="H140" s="141"/>
      <c r="I140" s="142"/>
      <c r="J140" s="194"/>
      <c r="K140" s="52"/>
      <c r="L140" s="197"/>
    </row>
    <row r="141" spans="1:12">
      <c r="A141" s="371" t="s">
        <v>195</v>
      </c>
      <c r="B141" s="374" t="s">
        <v>10</v>
      </c>
      <c r="C141" s="374" t="s">
        <v>204</v>
      </c>
      <c r="D141" s="357" t="s">
        <v>205</v>
      </c>
      <c r="E141" s="357" t="s">
        <v>185</v>
      </c>
      <c r="F141" s="379" t="s">
        <v>171</v>
      </c>
      <c r="G141" s="101">
        <v>1</v>
      </c>
      <c r="H141" s="73" t="s">
        <v>24</v>
      </c>
      <c r="I141" s="14" t="s">
        <v>27</v>
      </c>
      <c r="J141" s="189" t="s">
        <v>15</v>
      </c>
      <c r="K141" s="19" t="s">
        <v>7</v>
      </c>
      <c r="L141" s="189" t="s">
        <v>226</v>
      </c>
    </row>
    <row r="142" spans="1:12" ht="30">
      <c r="A142" s="372"/>
      <c r="B142" s="375"/>
      <c r="C142" s="375"/>
      <c r="D142" s="315"/>
      <c r="E142" s="315"/>
      <c r="F142" s="380"/>
      <c r="G142" s="84">
        <v>2</v>
      </c>
      <c r="H142" s="71" t="s">
        <v>186</v>
      </c>
      <c r="I142" s="15" t="s">
        <v>121</v>
      </c>
      <c r="J142" s="190"/>
      <c r="K142" s="20" t="s">
        <v>7</v>
      </c>
      <c r="L142" s="190"/>
    </row>
    <row r="143" spans="1:12" ht="30">
      <c r="A143" s="372"/>
      <c r="B143" s="375"/>
      <c r="C143" s="375"/>
      <c r="D143" s="315"/>
      <c r="E143" s="315"/>
      <c r="F143" s="380"/>
      <c r="G143" s="84">
        <v>3</v>
      </c>
      <c r="H143" s="71" t="s">
        <v>187</v>
      </c>
      <c r="I143" s="15" t="s">
        <v>188</v>
      </c>
      <c r="J143" s="190"/>
      <c r="K143" s="20" t="s">
        <v>7</v>
      </c>
      <c r="L143" s="190"/>
    </row>
    <row r="144" spans="1:12" ht="30">
      <c r="A144" s="372"/>
      <c r="B144" s="375"/>
      <c r="C144" s="375"/>
      <c r="D144" s="315"/>
      <c r="E144" s="315"/>
      <c r="F144" s="380"/>
      <c r="G144" s="102">
        <v>4</v>
      </c>
      <c r="H144" s="71" t="s">
        <v>206</v>
      </c>
      <c r="I144" s="15" t="s">
        <v>208</v>
      </c>
      <c r="J144" s="190"/>
      <c r="K144" s="20" t="s">
        <v>7</v>
      </c>
      <c r="L144" s="190"/>
    </row>
    <row r="145" spans="1:13" ht="30">
      <c r="A145" s="372"/>
      <c r="B145" s="375"/>
      <c r="C145" s="375"/>
      <c r="D145" s="315"/>
      <c r="E145" s="315"/>
      <c r="F145" s="380"/>
      <c r="G145" s="83">
        <v>5</v>
      </c>
      <c r="H145" s="71" t="s">
        <v>207</v>
      </c>
      <c r="I145" s="15" t="s">
        <v>209</v>
      </c>
      <c r="J145" s="190"/>
      <c r="K145" s="20" t="s">
        <v>7</v>
      </c>
      <c r="L145" s="190"/>
    </row>
    <row r="146" spans="1:13" ht="15.75" thickBot="1">
      <c r="A146" s="373"/>
      <c r="B146" s="376"/>
      <c r="C146" s="376"/>
      <c r="D146" s="358"/>
      <c r="E146" s="358"/>
      <c r="F146" s="381"/>
      <c r="G146" s="103"/>
      <c r="H146" s="72"/>
      <c r="I146" s="16"/>
      <c r="J146" s="191"/>
      <c r="K146" s="21"/>
      <c r="L146" s="191"/>
    </row>
    <row r="147" spans="1:13">
      <c r="A147" s="359" t="s">
        <v>203</v>
      </c>
      <c r="B147" s="362" t="s">
        <v>13</v>
      </c>
      <c r="C147" s="362" t="s">
        <v>196</v>
      </c>
      <c r="D147" s="364" t="s">
        <v>197</v>
      </c>
      <c r="E147" s="366" t="s">
        <v>185</v>
      </c>
      <c r="F147" s="368" t="s">
        <v>198</v>
      </c>
      <c r="G147" s="111">
        <v>1</v>
      </c>
      <c r="H147" s="143" t="s">
        <v>24</v>
      </c>
      <c r="I147" s="144" t="s">
        <v>27</v>
      </c>
      <c r="J147" s="192" t="s">
        <v>14</v>
      </c>
      <c r="K147" s="43" t="s">
        <v>7</v>
      </c>
      <c r="L147" s="201" t="s">
        <v>227</v>
      </c>
    </row>
    <row r="148" spans="1:13" ht="30">
      <c r="A148" s="360"/>
      <c r="B148" s="222"/>
      <c r="C148" s="222"/>
      <c r="D148" s="220"/>
      <c r="E148" s="212"/>
      <c r="F148" s="369"/>
      <c r="G148" s="108">
        <v>2</v>
      </c>
      <c r="H148" s="109" t="s">
        <v>186</v>
      </c>
      <c r="I148" s="110" t="s">
        <v>121</v>
      </c>
      <c r="J148" s="193"/>
      <c r="K148" s="43" t="s">
        <v>7</v>
      </c>
      <c r="L148" s="202"/>
    </row>
    <row r="149" spans="1:13" ht="30">
      <c r="A149" s="360"/>
      <c r="B149" s="222"/>
      <c r="C149" s="222"/>
      <c r="D149" s="220"/>
      <c r="E149" s="212"/>
      <c r="F149" s="369"/>
      <c r="G149" s="108">
        <v>3</v>
      </c>
      <c r="H149" s="109" t="s">
        <v>187</v>
      </c>
      <c r="I149" s="110" t="s">
        <v>188</v>
      </c>
      <c r="J149" s="193"/>
      <c r="K149" s="43" t="s">
        <v>7</v>
      </c>
      <c r="L149" s="202"/>
    </row>
    <row r="150" spans="1:13" ht="30">
      <c r="A150" s="360"/>
      <c r="B150" s="222"/>
      <c r="C150" s="222"/>
      <c r="D150" s="220"/>
      <c r="E150" s="212"/>
      <c r="F150" s="369"/>
      <c r="G150" s="108">
        <v>4</v>
      </c>
      <c r="H150" s="109" t="s">
        <v>199</v>
      </c>
      <c r="I150" s="110" t="s">
        <v>83</v>
      </c>
      <c r="J150" s="193"/>
      <c r="K150" s="43" t="s">
        <v>7</v>
      </c>
      <c r="L150" s="202"/>
    </row>
    <row r="151" spans="1:13" ht="45">
      <c r="A151" s="360"/>
      <c r="B151" s="222"/>
      <c r="C151" s="222"/>
      <c r="D151" s="220"/>
      <c r="E151" s="212"/>
      <c r="F151" s="369"/>
      <c r="G151" s="108">
        <v>5</v>
      </c>
      <c r="H151" s="109" t="s">
        <v>200</v>
      </c>
      <c r="I151" s="110" t="s">
        <v>201</v>
      </c>
      <c r="J151" s="193"/>
      <c r="K151" s="43" t="s">
        <v>7</v>
      </c>
      <c r="L151" s="202"/>
    </row>
    <row r="152" spans="1:13" ht="30">
      <c r="A152" s="360"/>
      <c r="B152" s="222"/>
      <c r="C152" s="222"/>
      <c r="D152" s="220"/>
      <c r="E152" s="212"/>
      <c r="F152" s="369"/>
      <c r="G152" s="108">
        <v>6</v>
      </c>
      <c r="H152" s="109" t="s">
        <v>72</v>
      </c>
      <c r="I152" s="110" t="s">
        <v>202</v>
      </c>
      <c r="J152" s="193"/>
      <c r="K152" s="85" t="s">
        <v>135</v>
      </c>
      <c r="L152" s="202"/>
    </row>
    <row r="153" spans="1:13" ht="15.75" thickBot="1">
      <c r="A153" s="361"/>
      <c r="B153" s="363"/>
      <c r="C153" s="363"/>
      <c r="D153" s="365"/>
      <c r="E153" s="367"/>
      <c r="F153" s="370"/>
      <c r="G153" s="145"/>
      <c r="H153" s="112"/>
      <c r="I153" s="113"/>
      <c r="J153" s="194"/>
      <c r="K153" s="44"/>
      <c r="L153" s="203"/>
    </row>
    <row r="154" spans="1:13" ht="15.75" customHeight="1">
      <c r="H154" s="1"/>
    </row>
    <row r="155" spans="1:13" ht="15.75" customHeight="1" thickBot="1">
      <c r="G155" s="17"/>
      <c r="H155" s="17"/>
    </row>
    <row r="156" spans="1:13" ht="15.75" customHeight="1" thickBot="1">
      <c r="A156" s="168" t="s">
        <v>222</v>
      </c>
      <c r="B156" s="17"/>
      <c r="D156" s="170" t="s">
        <v>8</v>
      </c>
      <c r="E156" s="169" t="s">
        <v>223</v>
      </c>
    </row>
    <row r="157" spans="1:13" ht="15.75" customHeight="1">
      <c r="A157" s="163" t="s">
        <v>10</v>
      </c>
      <c r="B157" s="167">
        <f>COUNTIF(B5:B153,"Positivo")</f>
        <v>12</v>
      </c>
      <c r="D157" s="171" t="s">
        <v>11</v>
      </c>
      <c r="E157" s="167">
        <f>COUNTIF(J5:J153, "Alta")</f>
        <v>7</v>
      </c>
    </row>
    <row r="158" spans="1:13" ht="15.75" customHeight="1" thickBot="1">
      <c r="A158" s="164" t="s">
        <v>13</v>
      </c>
      <c r="B158" s="166">
        <f>COUNTIF(B5:B153,"Negativo")</f>
        <v>7</v>
      </c>
      <c r="D158" s="161" t="s">
        <v>15</v>
      </c>
      <c r="E158" s="165">
        <f>COUNTIF(J5:J153,"Media")</f>
        <v>6</v>
      </c>
      <c r="G158" s="17"/>
      <c r="H158" s="17"/>
      <c r="I158" s="17"/>
      <c r="J158" s="17"/>
      <c r="K158" s="17"/>
      <c r="L158" s="17"/>
      <c r="M158" s="17"/>
    </row>
    <row r="159" spans="1:13" ht="15.75" customHeight="1" thickBot="1">
      <c r="D159" s="162" t="s">
        <v>14</v>
      </c>
      <c r="E159" s="166">
        <f>COUNTIF(J5:J153,"Baja")</f>
        <v>6</v>
      </c>
    </row>
    <row r="160" spans="1:13" ht="15.75" customHeight="1"/>
    <row r="161" spans="1:8" ht="15.75" customHeight="1"/>
    <row r="162" spans="1:8" ht="15.75" customHeight="1"/>
    <row r="163" spans="1:8" ht="15.75" customHeight="1">
      <c r="H163" s="1"/>
    </row>
    <row r="164" spans="1:8" ht="15.75" customHeight="1">
      <c r="H164" s="1"/>
    </row>
    <row r="165" spans="1:8" ht="15.75" customHeight="1">
      <c r="H165" s="1"/>
    </row>
    <row r="166" spans="1:8" ht="15.75" customHeight="1">
      <c r="H166" s="1"/>
    </row>
    <row r="167" spans="1:8" ht="15.75" customHeight="1">
      <c r="H167" s="1"/>
    </row>
    <row r="168" spans="1:8" ht="15.75" customHeight="1">
      <c r="H168" s="1"/>
    </row>
    <row r="169" spans="1:8" ht="15.75" customHeight="1">
      <c r="H169" s="1"/>
    </row>
    <row r="170" spans="1:8" ht="15.75" customHeight="1">
      <c r="H170" s="1"/>
    </row>
    <row r="171" spans="1:8" ht="15.75" customHeight="1">
      <c r="H171" s="1"/>
    </row>
    <row r="172" spans="1:8" ht="15.75" customHeight="1">
      <c r="H172" s="1"/>
    </row>
    <row r="173" spans="1:8" ht="15.75" customHeight="1">
      <c r="H173" s="1"/>
    </row>
    <row r="174" spans="1:8" ht="15.75" customHeight="1">
      <c r="H174" s="1"/>
    </row>
    <row r="175" spans="1:8" ht="15.75" customHeight="1" thickBot="1">
      <c r="H175" s="1"/>
    </row>
    <row r="176" spans="1:8" ht="15.75" customHeight="1" thickBot="1">
      <c r="A176" s="176"/>
      <c r="B176" s="175" t="s">
        <v>228</v>
      </c>
      <c r="C176" s="175" t="s">
        <v>229</v>
      </c>
      <c r="D176" s="175" t="s">
        <v>230</v>
      </c>
      <c r="E176" s="175" t="s">
        <v>231</v>
      </c>
      <c r="F176" s="173" t="s">
        <v>232</v>
      </c>
      <c r="G176" s="175" t="s">
        <v>233</v>
      </c>
      <c r="H176" s="1"/>
    </row>
    <row r="177" spans="1:8" ht="15.75" customHeight="1" thickBot="1">
      <c r="A177" s="174" t="s">
        <v>224</v>
      </c>
      <c r="B177" s="177">
        <f>COUNTIFS(J5:J153,"Alta",L5:L153,"OK")</f>
        <v>5</v>
      </c>
      <c r="C177" s="178">
        <f>COUNTIFS(J5:J153,"Alta",L5:L153,"FALLO")</f>
        <v>2</v>
      </c>
      <c r="D177" s="178">
        <f>COUNTIFS(J5:J153,"Media",L5:L153,"OK")</f>
        <v>5</v>
      </c>
      <c r="E177" s="178">
        <f>COUNTIFS(J5:J153,"Media",L5:L153,"FALLO")</f>
        <v>1</v>
      </c>
      <c r="F177" s="178">
        <f>COUNTIFS(J5:J153,"Baja",L5:L153,"OK")</f>
        <v>5</v>
      </c>
      <c r="G177" s="179">
        <f>COUNTIFS(J5:J153,"Baja",L5:L153,"FALLO")</f>
        <v>1</v>
      </c>
      <c r="H177" s="1"/>
    </row>
    <row r="178" spans="1:8" ht="15.75" customHeight="1">
      <c r="H178" s="1"/>
    </row>
    <row r="179" spans="1:8" ht="15.75" customHeight="1">
      <c r="H179" s="1"/>
    </row>
    <row r="180" spans="1:8" ht="15.75" customHeight="1">
      <c r="H180" s="1"/>
    </row>
    <row r="181" spans="1:8" ht="15.75" customHeight="1">
      <c r="H181" s="1"/>
    </row>
    <row r="182" spans="1:8" ht="15.75" customHeight="1">
      <c r="H182" s="1"/>
    </row>
    <row r="183" spans="1:8" ht="15.75" customHeight="1">
      <c r="H183" s="1"/>
    </row>
    <row r="184" spans="1:8" ht="15.75" customHeight="1">
      <c r="H184" s="1"/>
    </row>
    <row r="185" spans="1:8" ht="15.75" customHeight="1">
      <c r="H185" s="1"/>
    </row>
    <row r="186" spans="1:8" ht="15.75" customHeight="1">
      <c r="H186" s="1"/>
    </row>
    <row r="187" spans="1:8" ht="15.75" customHeight="1">
      <c r="H187" s="1"/>
    </row>
    <row r="188" spans="1:8" ht="15.75" customHeight="1">
      <c r="H188" s="1"/>
    </row>
    <row r="189" spans="1:8" ht="15.75" customHeight="1">
      <c r="H189" s="1"/>
    </row>
    <row r="190" spans="1:8" ht="15.75" customHeight="1">
      <c r="H190" s="1"/>
    </row>
    <row r="191" spans="1:8" ht="15.75" customHeight="1">
      <c r="H191" s="1"/>
    </row>
    <row r="192" spans="1:8" ht="15.75" customHeight="1">
      <c r="H192" s="1"/>
    </row>
    <row r="193" spans="8:8" ht="15.75" customHeight="1">
      <c r="H193" s="1"/>
    </row>
    <row r="194" spans="8:8" ht="15.75" customHeight="1">
      <c r="H194" s="1"/>
    </row>
    <row r="195" spans="8:8" ht="15.75" customHeight="1">
      <c r="H195" s="1"/>
    </row>
    <row r="196" spans="8:8" ht="15.75" customHeight="1">
      <c r="H196" s="1"/>
    </row>
    <row r="197" spans="8:8" ht="15.75" customHeight="1">
      <c r="H197" s="1"/>
    </row>
    <row r="198" spans="8:8" ht="15.75" customHeight="1">
      <c r="H198" s="1"/>
    </row>
    <row r="199" spans="8:8" ht="15.75" customHeight="1">
      <c r="H199" s="1"/>
    </row>
    <row r="200" spans="8:8" ht="15.75" customHeight="1">
      <c r="H200" s="1"/>
    </row>
    <row r="201" spans="8:8" ht="15.75" customHeight="1">
      <c r="H201" s="1"/>
    </row>
    <row r="202" spans="8:8" ht="15.75" customHeight="1">
      <c r="H202" s="1"/>
    </row>
    <row r="203" spans="8:8" ht="15.75" customHeight="1">
      <c r="H203" s="1"/>
    </row>
    <row r="204" spans="8:8" ht="15.75" customHeight="1">
      <c r="H204" s="1"/>
    </row>
    <row r="205" spans="8:8" ht="15.75" customHeight="1">
      <c r="H205" s="1"/>
    </row>
    <row r="206" spans="8:8" ht="15.75" customHeight="1">
      <c r="H206" s="1"/>
    </row>
    <row r="207" spans="8:8" ht="15.75" customHeight="1">
      <c r="H207" s="1"/>
    </row>
    <row r="208" spans="8:8" ht="15.75" customHeight="1">
      <c r="H208" s="1"/>
    </row>
    <row r="209" spans="8:8" ht="15.75" customHeight="1">
      <c r="H209" s="1"/>
    </row>
    <row r="210" spans="8:8" ht="15.75" customHeight="1">
      <c r="H210" s="1"/>
    </row>
    <row r="211" spans="8:8" ht="15.75" customHeight="1">
      <c r="H211" s="1"/>
    </row>
    <row r="212" spans="8:8" ht="15.75" customHeight="1">
      <c r="H212" s="1"/>
    </row>
    <row r="213" spans="8:8" ht="15.75" customHeight="1">
      <c r="H213" s="1"/>
    </row>
    <row r="214" spans="8:8" ht="15.75" customHeight="1">
      <c r="H214" s="1"/>
    </row>
    <row r="215" spans="8:8" ht="15.75" customHeight="1">
      <c r="H215" s="1"/>
    </row>
    <row r="216" spans="8:8" ht="15.75" customHeight="1">
      <c r="H216" s="1"/>
    </row>
    <row r="217" spans="8:8" ht="15.75" customHeight="1">
      <c r="H217" s="1"/>
    </row>
    <row r="218" spans="8:8" ht="15.75" customHeight="1">
      <c r="H218" s="1"/>
    </row>
    <row r="219" spans="8:8" ht="15.75" customHeight="1">
      <c r="H219" s="1"/>
    </row>
    <row r="220" spans="8:8" ht="15.75" customHeight="1">
      <c r="H220" s="1"/>
    </row>
    <row r="221" spans="8:8" ht="15.75" customHeight="1">
      <c r="H221" s="1"/>
    </row>
    <row r="222" spans="8:8" ht="15.75" customHeight="1">
      <c r="H222" s="1"/>
    </row>
    <row r="223" spans="8:8" ht="15.75" customHeight="1">
      <c r="H223" s="1"/>
    </row>
    <row r="224" spans="8:8" ht="15.75" customHeight="1">
      <c r="H224" s="1"/>
    </row>
    <row r="225" spans="8:8" ht="15.75" customHeight="1">
      <c r="H225" s="1"/>
    </row>
    <row r="226" spans="8:8" ht="15.75" customHeight="1">
      <c r="H226" s="1"/>
    </row>
    <row r="227" spans="8:8" ht="15.75" customHeight="1">
      <c r="H227" s="1"/>
    </row>
    <row r="228" spans="8:8" ht="15.75" customHeight="1">
      <c r="H228" s="1"/>
    </row>
    <row r="229" spans="8:8" ht="15.75" customHeight="1">
      <c r="H229" s="1"/>
    </row>
    <row r="230" spans="8:8" ht="15.75" customHeight="1">
      <c r="H230" s="1"/>
    </row>
    <row r="231" spans="8:8" ht="15.75" customHeight="1">
      <c r="H231" s="1"/>
    </row>
    <row r="232" spans="8:8" ht="15.75" customHeight="1">
      <c r="H232" s="1"/>
    </row>
    <row r="233" spans="8:8" ht="15.75" customHeight="1">
      <c r="H233" s="1"/>
    </row>
    <row r="234" spans="8:8" ht="15.75" customHeight="1">
      <c r="H234" s="1"/>
    </row>
    <row r="235" spans="8:8" ht="15.75" customHeight="1">
      <c r="H235" s="1"/>
    </row>
    <row r="236" spans="8:8" ht="15.75" customHeight="1">
      <c r="H236" s="1"/>
    </row>
    <row r="237" spans="8:8" ht="15.75" customHeight="1">
      <c r="H237" s="1"/>
    </row>
    <row r="238" spans="8:8" ht="15.75" customHeight="1">
      <c r="H238" s="1"/>
    </row>
    <row r="239" spans="8:8" ht="15.75" customHeight="1">
      <c r="H239" s="1"/>
    </row>
    <row r="240" spans="8:8" ht="15.75" customHeight="1">
      <c r="H240" s="1"/>
    </row>
    <row r="241" spans="8:8" ht="15.75" customHeight="1">
      <c r="H241" s="1"/>
    </row>
    <row r="242" spans="8:8" ht="15.75" customHeight="1">
      <c r="H242" s="1"/>
    </row>
    <row r="243" spans="8:8" ht="15.75" customHeight="1">
      <c r="H243" s="1"/>
    </row>
    <row r="244" spans="8:8" ht="15.75" customHeight="1">
      <c r="H244" s="1"/>
    </row>
    <row r="245" spans="8:8" ht="15.75" customHeight="1">
      <c r="H245" s="1"/>
    </row>
    <row r="246" spans="8:8" ht="15.75" customHeight="1">
      <c r="H246" s="1"/>
    </row>
    <row r="247" spans="8:8" ht="15.75" customHeight="1">
      <c r="H247" s="1"/>
    </row>
    <row r="248" spans="8:8" ht="15.75" customHeight="1">
      <c r="H248" s="1"/>
    </row>
    <row r="249" spans="8:8" ht="15.75" customHeight="1">
      <c r="H249" s="1"/>
    </row>
    <row r="250" spans="8:8" ht="15.75" customHeight="1">
      <c r="H250" s="1"/>
    </row>
    <row r="251" spans="8:8" ht="15.75" customHeight="1">
      <c r="H251" s="1"/>
    </row>
    <row r="252" spans="8:8" ht="15.75" customHeight="1">
      <c r="H252" s="1"/>
    </row>
    <row r="253" spans="8:8" ht="15.75" customHeight="1">
      <c r="H253" s="1"/>
    </row>
    <row r="254" spans="8:8" ht="15.75" customHeight="1">
      <c r="H254" s="1"/>
    </row>
    <row r="255" spans="8:8" ht="15.75" customHeight="1">
      <c r="H255" s="1"/>
    </row>
    <row r="256" spans="8:8" ht="15.75" customHeight="1">
      <c r="H256" s="1"/>
    </row>
    <row r="257" spans="8:8" ht="15.75" customHeight="1">
      <c r="H257" s="1"/>
    </row>
    <row r="258" spans="8:8" ht="15.75" customHeight="1">
      <c r="H258" s="1"/>
    </row>
    <row r="259" spans="8:8" ht="15.75" customHeight="1">
      <c r="H259" s="1"/>
    </row>
    <row r="260" spans="8:8" ht="15.75" customHeight="1">
      <c r="H260" s="1"/>
    </row>
    <row r="261" spans="8:8" ht="15.75" customHeight="1">
      <c r="H261" s="1"/>
    </row>
    <row r="262" spans="8:8" ht="15.75" customHeight="1">
      <c r="H262" s="1"/>
    </row>
    <row r="263" spans="8:8" ht="15.75" customHeight="1">
      <c r="H263" s="1"/>
    </row>
    <row r="264" spans="8:8" ht="15.75" customHeight="1">
      <c r="H264" s="1"/>
    </row>
    <row r="265" spans="8:8" ht="15.75" customHeight="1">
      <c r="H265" s="1"/>
    </row>
    <row r="266" spans="8:8" ht="15.75" customHeight="1">
      <c r="H266" s="1"/>
    </row>
    <row r="267" spans="8:8" ht="15.75" customHeight="1">
      <c r="H267" s="1"/>
    </row>
    <row r="268" spans="8:8" ht="15.75" customHeight="1">
      <c r="H268" s="1"/>
    </row>
    <row r="269" spans="8:8" ht="15.75" customHeight="1">
      <c r="H269" s="1"/>
    </row>
    <row r="270" spans="8:8" ht="15.75" customHeight="1">
      <c r="H270" s="1"/>
    </row>
    <row r="271" spans="8:8" ht="15.75" customHeight="1">
      <c r="H271" s="1"/>
    </row>
    <row r="272" spans="8:8" ht="15.75" customHeight="1">
      <c r="H272" s="1"/>
    </row>
    <row r="273" spans="8:8" ht="15.75" customHeight="1">
      <c r="H273" s="1"/>
    </row>
    <row r="274" spans="8:8" ht="15.75" customHeight="1">
      <c r="H274" s="1"/>
    </row>
    <row r="275" spans="8:8" ht="15.75" customHeight="1">
      <c r="H275" s="1"/>
    </row>
    <row r="276" spans="8:8" ht="15.75" customHeight="1">
      <c r="H276" s="1"/>
    </row>
    <row r="277" spans="8:8" ht="15.75" customHeight="1">
      <c r="H277" s="1"/>
    </row>
    <row r="278" spans="8:8" ht="15.75" customHeight="1">
      <c r="H278" s="1"/>
    </row>
    <row r="279" spans="8:8" ht="15.75" customHeight="1">
      <c r="H279" s="1"/>
    </row>
    <row r="280" spans="8:8" ht="15.75" customHeight="1">
      <c r="H280" s="1"/>
    </row>
    <row r="281" spans="8:8" ht="15.75" customHeight="1">
      <c r="H281" s="1"/>
    </row>
    <row r="282" spans="8:8" ht="15.75" customHeight="1">
      <c r="H282" s="1"/>
    </row>
    <row r="283" spans="8:8" ht="15.75" customHeight="1">
      <c r="H283" s="1"/>
    </row>
    <row r="284" spans="8:8" ht="15.75" customHeight="1">
      <c r="H284" s="1"/>
    </row>
    <row r="285" spans="8:8" ht="15.75" customHeight="1">
      <c r="H285" s="1"/>
    </row>
    <row r="286" spans="8:8" ht="15.75" customHeight="1">
      <c r="H286" s="1"/>
    </row>
    <row r="287" spans="8:8" ht="15.75" customHeight="1">
      <c r="H287" s="1"/>
    </row>
    <row r="288" spans="8:8" ht="15.75" customHeight="1">
      <c r="H288" s="1"/>
    </row>
    <row r="289" spans="8:8" ht="15.75" customHeight="1">
      <c r="H289" s="1"/>
    </row>
    <row r="290" spans="8:8" ht="15.75" customHeight="1">
      <c r="H290" s="1"/>
    </row>
    <row r="291" spans="8:8" ht="15.75" customHeight="1">
      <c r="H291" s="1"/>
    </row>
    <row r="292" spans="8:8" ht="15.75" customHeight="1">
      <c r="H292" s="1"/>
    </row>
    <row r="293" spans="8:8" ht="15.75" customHeight="1">
      <c r="H293" s="1"/>
    </row>
    <row r="294" spans="8:8" ht="15.75" customHeight="1">
      <c r="H294" s="1"/>
    </row>
    <row r="295" spans="8:8" ht="15.75" customHeight="1">
      <c r="H295" s="1"/>
    </row>
    <row r="296" spans="8:8" ht="15.75" customHeight="1">
      <c r="H296" s="1"/>
    </row>
    <row r="297" spans="8:8" ht="15.75" customHeight="1">
      <c r="H297" s="1"/>
    </row>
    <row r="298" spans="8:8" ht="15.75" customHeight="1">
      <c r="H298" s="1"/>
    </row>
    <row r="299" spans="8:8" ht="15.75" customHeight="1">
      <c r="H299" s="1"/>
    </row>
    <row r="300" spans="8:8" ht="15.75" customHeight="1">
      <c r="H300" s="1"/>
    </row>
    <row r="301" spans="8:8" ht="15.75" customHeight="1">
      <c r="H301" s="1"/>
    </row>
    <row r="302" spans="8:8" ht="15.75" customHeight="1">
      <c r="H302" s="1"/>
    </row>
    <row r="303" spans="8:8" ht="15.75" customHeight="1">
      <c r="H303" s="1"/>
    </row>
    <row r="304" spans="8:8" ht="15.75" customHeight="1">
      <c r="H304" s="1"/>
    </row>
    <row r="305" spans="8:8" ht="15.75" customHeight="1">
      <c r="H305" s="1"/>
    </row>
    <row r="306" spans="8:8" ht="15.75" customHeight="1">
      <c r="H306" s="1"/>
    </row>
    <row r="307" spans="8:8" ht="15.75" customHeight="1">
      <c r="H307" s="1"/>
    </row>
    <row r="308" spans="8:8" ht="15.75" customHeight="1">
      <c r="H308" s="1"/>
    </row>
    <row r="309" spans="8:8" ht="15.75" customHeight="1">
      <c r="H309" s="1"/>
    </row>
    <row r="310" spans="8:8" ht="15.75" customHeight="1">
      <c r="H310" s="1"/>
    </row>
    <row r="311" spans="8:8" ht="15.75" customHeight="1">
      <c r="H311" s="1"/>
    </row>
    <row r="312" spans="8:8" ht="15.75" customHeight="1">
      <c r="H312" s="1"/>
    </row>
    <row r="313" spans="8:8" ht="15.75" customHeight="1">
      <c r="H313" s="1"/>
    </row>
    <row r="314" spans="8:8" ht="15.75" customHeight="1">
      <c r="H314" s="1"/>
    </row>
    <row r="315" spans="8:8" ht="15.75" customHeight="1">
      <c r="H315" s="1"/>
    </row>
    <row r="316" spans="8:8" ht="15.75" customHeight="1">
      <c r="H316" s="1"/>
    </row>
    <row r="317" spans="8:8" ht="15.75" customHeight="1">
      <c r="H317" s="1"/>
    </row>
    <row r="318" spans="8:8" ht="15.75" customHeight="1">
      <c r="H318" s="1"/>
    </row>
    <row r="319" spans="8:8" ht="15.75" customHeight="1">
      <c r="H319" s="1"/>
    </row>
    <row r="320" spans="8:8" ht="15.75" customHeight="1">
      <c r="H320" s="1"/>
    </row>
    <row r="321" spans="8:8" ht="15.75" customHeight="1">
      <c r="H321" s="1"/>
    </row>
    <row r="322" spans="8:8" ht="15.75" customHeight="1">
      <c r="H322" s="1"/>
    </row>
    <row r="323" spans="8:8" ht="15.75" customHeight="1">
      <c r="H323" s="1"/>
    </row>
    <row r="324" spans="8:8" ht="15.75" customHeight="1">
      <c r="H324" s="1"/>
    </row>
    <row r="325" spans="8:8" ht="15.75" customHeight="1">
      <c r="H325" s="1"/>
    </row>
    <row r="326" spans="8:8" ht="15.75" customHeight="1">
      <c r="H326" s="1"/>
    </row>
    <row r="327" spans="8:8" ht="15.75" customHeight="1">
      <c r="H327" s="1"/>
    </row>
    <row r="328" spans="8:8" ht="15.75" customHeight="1">
      <c r="H328" s="1"/>
    </row>
    <row r="329" spans="8:8" ht="15.75" customHeight="1">
      <c r="H329" s="1"/>
    </row>
    <row r="330" spans="8:8" ht="15.75" customHeight="1">
      <c r="H330" s="1"/>
    </row>
    <row r="331" spans="8:8" ht="15.75" customHeight="1">
      <c r="H331" s="1"/>
    </row>
    <row r="332" spans="8:8" ht="15.75" customHeight="1">
      <c r="H332" s="1"/>
    </row>
    <row r="333" spans="8:8" ht="15.75" customHeight="1">
      <c r="H333" s="1"/>
    </row>
    <row r="334" spans="8:8" ht="15.75" customHeight="1">
      <c r="H334" s="1"/>
    </row>
    <row r="335" spans="8:8" ht="15.75" customHeight="1">
      <c r="H335" s="1"/>
    </row>
    <row r="336" spans="8:8" ht="15.75" customHeight="1">
      <c r="H336" s="1"/>
    </row>
    <row r="337" spans="8:8" ht="15.75" customHeight="1">
      <c r="H337" s="1"/>
    </row>
    <row r="338" spans="8:8" ht="15.75" customHeight="1">
      <c r="H338" s="1"/>
    </row>
    <row r="339" spans="8:8" ht="15.75" customHeight="1">
      <c r="H339" s="1"/>
    </row>
    <row r="340" spans="8:8" ht="15.75" customHeight="1">
      <c r="H340" s="1"/>
    </row>
    <row r="341" spans="8:8" ht="15.75" customHeight="1">
      <c r="H341" s="1"/>
    </row>
    <row r="342" spans="8:8" ht="15.75" customHeight="1">
      <c r="H342" s="1"/>
    </row>
    <row r="343" spans="8:8" ht="15.75" customHeight="1">
      <c r="H343" s="1"/>
    </row>
    <row r="344" spans="8:8" ht="15.75" customHeight="1">
      <c r="H344" s="1"/>
    </row>
    <row r="345" spans="8:8" ht="15.75" customHeight="1">
      <c r="H345" s="1"/>
    </row>
    <row r="346" spans="8:8" ht="15.75" customHeight="1">
      <c r="H346" s="1"/>
    </row>
    <row r="347" spans="8:8" ht="15.75" customHeight="1">
      <c r="H347" s="1"/>
    </row>
    <row r="348" spans="8:8" ht="15.75" customHeight="1">
      <c r="H348" s="1"/>
    </row>
    <row r="349" spans="8:8" ht="15.75" customHeight="1">
      <c r="H349" s="1"/>
    </row>
    <row r="350" spans="8:8" ht="15.75" customHeight="1">
      <c r="H350" s="1"/>
    </row>
    <row r="351" spans="8:8" ht="15.75" customHeight="1">
      <c r="H351" s="1"/>
    </row>
    <row r="352" spans="8:8" ht="15.75" customHeight="1">
      <c r="H352" s="1"/>
    </row>
    <row r="353" spans="8:8" ht="15.75" customHeight="1">
      <c r="H353" s="1"/>
    </row>
    <row r="354" spans="8:8" ht="15.75" customHeight="1">
      <c r="H354" s="1"/>
    </row>
    <row r="355" spans="8:8" ht="15.75" customHeight="1">
      <c r="H355" s="1"/>
    </row>
    <row r="356" spans="8:8" ht="15.75" customHeight="1">
      <c r="H356" s="1"/>
    </row>
    <row r="357" spans="8:8" ht="15.75" customHeight="1">
      <c r="H357" s="1"/>
    </row>
    <row r="358" spans="8:8" ht="15.75" customHeight="1">
      <c r="H358" s="1"/>
    </row>
    <row r="359" spans="8:8" ht="15.75" customHeight="1">
      <c r="H359" s="1"/>
    </row>
    <row r="360" spans="8:8" ht="15.75" customHeight="1">
      <c r="H360" s="1"/>
    </row>
    <row r="361" spans="8:8" ht="15.75" customHeight="1">
      <c r="H361" s="1"/>
    </row>
    <row r="362" spans="8:8" ht="15.75" customHeight="1">
      <c r="H362" s="1"/>
    </row>
    <row r="363" spans="8:8" ht="15.75" customHeight="1">
      <c r="H363" s="1"/>
    </row>
    <row r="364" spans="8:8" ht="15.75" customHeight="1">
      <c r="H364" s="1"/>
    </row>
    <row r="365" spans="8:8" ht="15.75" customHeight="1">
      <c r="H365" s="1"/>
    </row>
    <row r="366" spans="8:8" ht="15.75" customHeight="1">
      <c r="H366" s="1"/>
    </row>
    <row r="367" spans="8:8" ht="15.75" customHeight="1">
      <c r="H367" s="1"/>
    </row>
    <row r="368" spans="8:8" ht="15.75" customHeight="1">
      <c r="H368" s="1"/>
    </row>
    <row r="369" spans="8:8" ht="15.75" customHeight="1">
      <c r="H369" s="1"/>
    </row>
    <row r="370" spans="8:8" ht="15.75" customHeight="1">
      <c r="H370" s="1"/>
    </row>
    <row r="371" spans="8:8" ht="15.75" customHeight="1">
      <c r="H371" s="1"/>
    </row>
    <row r="372" spans="8:8" ht="15.75" customHeight="1">
      <c r="H372" s="1"/>
    </row>
    <row r="373" spans="8:8" ht="15.75" customHeight="1">
      <c r="H373" s="1"/>
    </row>
    <row r="374" spans="8:8" ht="15.75" customHeight="1">
      <c r="H374" s="1"/>
    </row>
    <row r="375" spans="8:8" ht="15.75" customHeight="1">
      <c r="H375" s="1"/>
    </row>
    <row r="376" spans="8:8" ht="15.75" customHeight="1">
      <c r="H376" s="1"/>
    </row>
    <row r="377" spans="8:8" ht="15.75" customHeight="1">
      <c r="H377" s="1"/>
    </row>
    <row r="378" spans="8:8" ht="15.75" customHeight="1">
      <c r="H378" s="1"/>
    </row>
    <row r="379" spans="8:8" ht="15.75" customHeight="1">
      <c r="H379" s="1"/>
    </row>
    <row r="380" spans="8:8" ht="15.75" customHeight="1">
      <c r="H380" s="1"/>
    </row>
    <row r="381" spans="8:8" ht="15.75" customHeight="1">
      <c r="H381" s="1"/>
    </row>
    <row r="382" spans="8:8" ht="15.75" customHeight="1">
      <c r="H382" s="1"/>
    </row>
    <row r="383" spans="8:8" ht="15.75" customHeight="1">
      <c r="H383" s="1"/>
    </row>
    <row r="384" spans="8:8" ht="15.75" customHeight="1">
      <c r="H384" s="1"/>
    </row>
    <row r="385" spans="8:8" ht="15.75" customHeight="1">
      <c r="H385" s="1"/>
    </row>
    <row r="386" spans="8:8" ht="15.75" customHeight="1">
      <c r="H386" s="1"/>
    </row>
    <row r="387" spans="8:8" ht="15.75" customHeight="1">
      <c r="H387" s="1"/>
    </row>
    <row r="388" spans="8:8" ht="15.75" customHeight="1">
      <c r="H388" s="1"/>
    </row>
    <row r="389" spans="8:8" ht="15.75" customHeight="1">
      <c r="H389" s="1"/>
    </row>
    <row r="390" spans="8:8" ht="15.75" customHeight="1">
      <c r="H390" s="1"/>
    </row>
    <row r="391" spans="8:8" ht="15.75" customHeight="1">
      <c r="H391" s="1"/>
    </row>
    <row r="392" spans="8:8" ht="15.75" customHeight="1">
      <c r="H392" s="1"/>
    </row>
    <row r="393" spans="8:8" ht="15.75" customHeight="1">
      <c r="H393" s="1"/>
    </row>
    <row r="394" spans="8:8" ht="15.75" customHeight="1">
      <c r="H394" s="1"/>
    </row>
    <row r="395" spans="8:8" ht="15.75" customHeight="1">
      <c r="H395" s="1"/>
    </row>
    <row r="396" spans="8:8" ht="15.75" customHeight="1">
      <c r="H396" s="1"/>
    </row>
    <row r="397" spans="8:8" ht="15.75" customHeight="1">
      <c r="H397" s="1"/>
    </row>
    <row r="398" spans="8:8" ht="15.75" customHeight="1">
      <c r="H398" s="1"/>
    </row>
    <row r="399" spans="8:8" ht="15.75" customHeight="1">
      <c r="H399" s="1"/>
    </row>
    <row r="400" spans="8:8" ht="15.75" customHeight="1">
      <c r="H400" s="1"/>
    </row>
    <row r="401" spans="8:8" ht="15.75" customHeight="1">
      <c r="H401" s="1"/>
    </row>
    <row r="402" spans="8:8" ht="15.75" customHeight="1">
      <c r="H402" s="1"/>
    </row>
    <row r="403" spans="8:8" ht="15.75" customHeight="1">
      <c r="H403" s="1"/>
    </row>
    <row r="404" spans="8:8" ht="15.75" customHeight="1">
      <c r="H404" s="1"/>
    </row>
    <row r="405" spans="8:8" ht="15.75" customHeight="1">
      <c r="H405" s="1"/>
    </row>
    <row r="406" spans="8:8" ht="15.75" customHeight="1">
      <c r="H406" s="1"/>
    </row>
    <row r="407" spans="8:8" ht="15.75" customHeight="1">
      <c r="H407" s="1"/>
    </row>
    <row r="408" spans="8:8" ht="15.75" customHeight="1">
      <c r="H408" s="1"/>
    </row>
    <row r="409" spans="8:8" ht="15.75" customHeight="1">
      <c r="H409" s="1"/>
    </row>
    <row r="410" spans="8:8" ht="15.75" customHeight="1">
      <c r="H410" s="1"/>
    </row>
    <row r="411" spans="8:8" ht="15.75" customHeight="1">
      <c r="H411" s="1"/>
    </row>
    <row r="412" spans="8:8" ht="15.75" customHeight="1">
      <c r="H412" s="1"/>
    </row>
    <row r="413" spans="8:8" ht="15.75" customHeight="1">
      <c r="H413" s="1"/>
    </row>
    <row r="414" spans="8:8" ht="15.75" customHeight="1">
      <c r="H414" s="1"/>
    </row>
    <row r="415" spans="8:8" ht="15.75" customHeight="1">
      <c r="H415" s="1"/>
    </row>
    <row r="416" spans="8:8" ht="15.75" customHeight="1">
      <c r="H416" s="1"/>
    </row>
    <row r="417" spans="8:8" ht="15.75" customHeight="1">
      <c r="H417" s="1"/>
    </row>
    <row r="418" spans="8:8" ht="15.75" customHeight="1">
      <c r="H418" s="1"/>
    </row>
    <row r="419" spans="8:8" ht="15.75" customHeight="1">
      <c r="H419" s="1"/>
    </row>
    <row r="420" spans="8:8" ht="15.75" customHeight="1">
      <c r="H420" s="1"/>
    </row>
    <row r="421" spans="8:8" ht="15.75" customHeight="1">
      <c r="H421" s="1"/>
    </row>
    <row r="422" spans="8:8" ht="15.75" customHeight="1">
      <c r="H422" s="1"/>
    </row>
    <row r="423" spans="8:8" ht="15.75" customHeight="1">
      <c r="H423" s="1"/>
    </row>
    <row r="424" spans="8:8" ht="15.75" customHeight="1">
      <c r="H424" s="1"/>
    </row>
    <row r="425" spans="8:8" ht="15.75" customHeight="1">
      <c r="H425" s="1"/>
    </row>
    <row r="426" spans="8:8" ht="15.75" customHeight="1">
      <c r="H426" s="1"/>
    </row>
    <row r="427" spans="8:8" ht="15.75" customHeight="1">
      <c r="H427" s="1"/>
    </row>
    <row r="428" spans="8:8" ht="15.75" customHeight="1">
      <c r="H428" s="1"/>
    </row>
    <row r="429" spans="8:8" ht="15.75" customHeight="1">
      <c r="H429" s="1"/>
    </row>
    <row r="430" spans="8:8" ht="15.75" customHeight="1">
      <c r="H430" s="1"/>
    </row>
    <row r="431" spans="8:8" ht="15.75" customHeight="1">
      <c r="H431" s="1"/>
    </row>
    <row r="432" spans="8:8" ht="15.75" customHeight="1">
      <c r="H432" s="1"/>
    </row>
    <row r="433" spans="8:8" ht="15.75" customHeight="1">
      <c r="H433" s="1"/>
    </row>
    <row r="434" spans="8:8" ht="15.75" customHeight="1">
      <c r="H434" s="1"/>
    </row>
    <row r="435" spans="8:8" ht="15.75" customHeight="1">
      <c r="H435" s="1"/>
    </row>
    <row r="436" spans="8:8" ht="15.75" customHeight="1">
      <c r="H436" s="1"/>
    </row>
    <row r="437" spans="8:8" ht="15.75" customHeight="1">
      <c r="H437" s="1"/>
    </row>
    <row r="438" spans="8:8" ht="15.75" customHeight="1">
      <c r="H438" s="1"/>
    </row>
    <row r="439" spans="8:8" ht="15.75" customHeight="1">
      <c r="H439" s="1"/>
    </row>
    <row r="440" spans="8:8" ht="15.75" customHeight="1">
      <c r="H440" s="1"/>
    </row>
    <row r="441" spans="8:8" ht="15.75" customHeight="1">
      <c r="H441" s="1"/>
    </row>
    <row r="442" spans="8:8" ht="15.75" customHeight="1">
      <c r="H442" s="1"/>
    </row>
    <row r="443" spans="8:8" ht="15.75" customHeight="1">
      <c r="H443" s="1"/>
    </row>
    <row r="444" spans="8:8" ht="15.75" customHeight="1">
      <c r="H444" s="1"/>
    </row>
    <row r="445" spans="8:8" ht="15.75" customHeight="1">
      <c r="H445" s="1"/>
    </row>
    <row r="446" spans="8:8" ht="15.75" customHeight="1">
      <c r="H446" s="1"/>
    </row>
    <row r="447" spans="8:8" ht="15.75" customHeight="1">
      <c r="H447" s="1"/>
    </row>
    <row r="448" spans="8:8" ht="15.75" customHeight="1">
      <c r="H448" s="1"/>
    </row>
    <row r="449" spans="8:8" ht="15.75" customHeight="1">
      <c r="H449" s="1"/>
    </row>
    <row r="450" spans="8:8" ht="15.75" customHeight="1">
      <c r="H450" s="1"/>
    </row>
    <row r="451" spans="8:8" ht="15.75" customHeight="1">
      <c r="H451" s="1"/>
    </row>
    <row r="452" spans="8:8" ht="15.75" customHeight="1">
      <c r="H452" s="1"/>
    </row>
    <row r="453" spans="8:8" ht="15.75" customHeight="1">
      <c r="H453" s="1"/>
    </row>
    <row r="454" spans="8:8" ht="15.75" customHeight="1">
      <c r="H454" s="1"/>
    </row>
    <row r="455" spans="8:8" ht="15.75" customHeight="1">
      <c r="H455" s="1"/>
    </row>
    <row r="456" spans="8:8" ht="15.75" customHeight="1">
      <c r="H456" s="1"/>
    </row>
    <row r="457" spans="8:8" ht="15.75" customHeight="1">
      <c r="H457" s="1"/>
    </row>
    <row r="458" spans="8:8" ht="15.75" customHeight="1">
      <c r="H458" s="1"/>
    </row>
    <row r="459" spans="8:8" ht="15.75" customHeight="1">
      <c r="H459" s="1"/>
    </row>
    <row r="460" spans="8:8" ht="15.75" customHeight="1">
      <c r="H460" s="1"/>
    </row>
    <row r="461" spans="8:8" ht="15.75" customHeight="1">
      <c r="H461" s="1"/>
    </row>
    <row r="462" spans="8:8" ht="15.75" customHeight="1">
      <c r="H462" s="1"/>
    </row>
    <row r="463" spans="8:8" ht="15.75" customHeight="1">
      <c r="H463" s="1"/>
    </row>
    <row r="464" spans="8:8" ht="15.75" customHeight="1">
      <c r="H464" s="1"/>
    </row>
    <row r="465" spans="8:8" ht="15.75" customHeight="1">
      <c r="H465" s="1"/>
    </row>
    <row r="466" spans="8:8" ht="15.75" customHeight="1">
      <c r="H466" s="1"/>
    </row>
    <row r="467" spans="8:8" ht="15.75" customHeight="1">
      <c r="H467" s="1"/>
    </row>
    <row r="468" spans="8:8" ht="15.75" customHeight="1">
      <c r="H468" s="1"/>
    </row>
    <row r="469" spans="8:8" ht="15.75" customHeight="1">
      <c r="H469" s="1"/>
    </row>
    <row r="470" spans="8:8" ht="15.75" customHeight="1">
      <c r="H470" s="1"/>
    </row>
    <row r="471" spans="8:8" ht="15.75" customHeight="1">
      <c r="H471" s="1"/>
    </row>
    <row r="472" spans="8:8" ht="15.75" customHeight="1">
      <c r="H472" s="1"/>
    </row>
    <row r="473" spans="8:8" ht="15.75" customHeight="1">
      <c r="H473" s="1"/>
    </row>
    <row r="474" spans="8:8" ht="15.75" customHeight="1">
      <c r="H474" s="1"/>
    </row>
    <row r="475" spans="8:8" ht="15.75" customHeight="1">
      <c r="H475" s="1"/>
    </row>
    <row r="476" spans="8:8" ht="15.75" customHeight="1">
      <c r="H476" s="1"/>
    </row>
    <row r="477" spans="8:8" ht="15.75" customHeight="1">
      <c r="H477" s="1"/>
    </row>
    <row r="478" spans="8:8" ht="15.75" customHeight="1">
      <c r="H478" s="1"/>
    </row>
    <row r="479" spans="8:8" ht="15.75" customHeight="1">
      <c r="H479" s="1"/>
    </row>
    <row r="480" spans="8:8" ht="15.75" customHeight="1">
      <c r="H480" s="1"/>
    </row>
    <row r="481" spans="8:8" ht="15.75" customHeight="1">
      <c r="H481" s="1"/>
    </row>
    <row r="482" spans="8:8" ht="15.75" customHeight="1">
      <c r="H482" s="1"/>
    </row>
    <row r="483" spans="8:8" ht="15.75" customHeight="1">
      <c r="H483" s="1"/>
    </row>
    <row r="484" spans="8:8" ht="15.75" customHeight="1">
      <c r="H484" s="1"/>
    </row>
    <row r="485" spans="8:8" ht="15.75" customHeight="1">
      <c r="H485" s="1"/>
    </row>
    <row r="486" spans="8:8" ht="15.75" customHeight="1">
      <c r="H486" s="1"/>
    </row>
    <row r="487" spans="8:8" ht="15.75" customHeight="1">
      <c r="H487" s="1"/>
    </row>
    <row r="488" spans="8:8" ht="15.75" customHeight="1">
      <c r="H488" s="1"/>
    </row>
    <row r="489" spans="8:8" ht="15.75" customHeight="1">
      <c r="H489" s="1"/>
    </row>
    <row r="490" spans="8:8" ht="15.75" customHeight="1">
      <c r="H490" s="1"/>
    </row>
    <row r="491" spans="8:8" ht="15.75" customHeight="1">
      <c r="H491" s="1"/>
    </row>
    <row r="492" spans="8:8" ht="15.75" customHeight="1">
      <c r="H492" s="1"/>
    </row>
    <row r="493" spans="8:8" ht="15.75" customHeight="1">
      <c r="H493" s="1"/>
    </row>
    <row r="494" spans="8:8" ht="15.75" customHeight="1">
      <c r="H494" s="1"/>
    </row>
    <row r="495" spans="8:8" ht="15.75" customHeight="1">
      <c r="H495" s="1"/>
    </row>
    <row r="496" spans="8:8" ht="15.75" customHeight="1">
      <c r="H496" s="1"/>
    </row>
    <row r="497" spans="8:8" ht="15.75" customHeight="1">
      <c r="H497" s="1"/>
    </row>
    <row r="498" spans="8:8" ht="15.75" customHeight="1">
      <c r="H498" s="1"/>
    </row>
    <row r="499" spans="8:8" ht="15.75" customHeight="1">
      <c r="H499" s="1"/>
    </row>
    <row r="500" spans="8:8" ht="15.75" customHeight="1">
      <c r="H500" s="1"/>
    </row>
    <row r="501" spans="8:8" ht="15.75" customHeight="1">
      <c r="H501" s="1"/>
    </row>
    <row r="502" spans="8:8" ht="15.75" customHeight="1">
      <c r="H502" s="1"/>
    </row>
    <row r="503" spans="8:8" ht="15.75" customHeight="1">
      <c r="H503" s="1"/>
    </row>
    <row r="504" spans="8:8" ht="15.75" customHeight="1">
      <c r="H504" s="1"/>
    </row>
    <row r="505" spans="8:8" ht="15.75" customHeight="1">
      <c r="H505" s="1"/>
    </row>
    <row r="506" spans="8:8" ht="15.75" customHeight="1">
      <c r="H506" s="1"/>
    </row>
    <row r="507" spans="8:8" ht="15.75" customHeight="1">
      <c r="H507" s="1"/>
    </row>
    <row r="508" spans="8:8" ht="15.75" customHeight="1">
      <c r="H508" s="1"/>
    </row>
    <row r="509" spans="8:8" ht="15.75" customHeight="1">
      <c r="H509" s="1"/>
    </row>
    <row r="510" spans="8:8" ht="15.75" customHeight="1">
      <c r="H510" s="1"/>
    </row>
    <row r="511" spans="8:8" ht="15.75" customHeight="1">
      <c r="H511" s="1"/>
    </row>
    <row r="512" spans="8:8" ht="15.75" customHeight="1">
      <c r="H512" s="1"/>
    </row>
    <row r="513" spans="8:8" ht="15.75" customHeight="1">
      <c r="H513" s="1"/>
    </row>
    <row r="514" spans="8:8" ht="15.75" customHeight="1">
      <c r="H514" s="1"/>
    </row>
    <row r="515" spans="8:8" ht="15.75" customHeight="1">
      <c r="H515" s="1"/>
    </row>
    <row r="516" spans="8:8" ht="15.75" customHeight="1">
      <c r="H516" s="1"/>
    </row>
    <row r="517" spans="8:8" ht="15.75" customHeight="1">
      <c r="H517" s="1"/>
    </row>
    <row r="518" spans="8:8" ht="15.75" customHeight="1">
      <c r="H518" s="1"/>
    </row>
    <row r="519" spans="8:8" ht="15.75" customHeight="1">
      <c r="H519" s="1"/>
    </row>
    <row r="520" spans="8:8" ht="15.75" customHeight="1">
      <c r="H520" s="1"/>
    </row>
    <row r="521" spans="8:8" ht="15.75" customHeight="1">
      <c r="H521" s="1"/>
    </row>
    <row r="522" spans="8:8" ht="15.75" customHeight="1">
      <c r="H522" s="1"/>
    </row>
    <row r="523" spans="8:8" ht="15.75" customHeight="1">
      <c r="H523" s="1"/>
    </row>
    <row r="524" spans="8:8" ht="15.75" customHeight="1">
      <c r="H524" s="1"/>
    </row>
    <row r="525" spans="8:8" ht="15.75" customHeight="1">
      <c r="H525" s="1"/>
    </row>
    <row r="526" spans="8:8" ht="15.75" customHeight="1">
      <c r="H526" s="1"/>
    </row>
    <row r="527" spans="8:8" ht="15.75" customHeight="1">
      <c r="H527" s="1"/>
    </row>
    <row r="528" spans="8:8" ht="15.75" customHeight="1">
      <c r="H528" s="1"/>
    </row>
    <row r="529" spans="8:8" ht="15.75" customHeight="1">
      <c r="H529" s="1"/>
    </row>
    <row r="530" spans="8:8" ht="15.75" customHeight="1">
      <c r="H530" s="1"/>
    </row>
    <row r="531" spans="8:8" ht="15.75" customHeight="1">
      <c r="H531" s="1"/>
    </row>
    <row r="532" spans="8:8" ht="15.75" customHeight="1">
      <c r="H532" s="1"/>
    </row>
    <row r="533" spans="8:8" ht="15.75" customHeight="1">
      <c r="H533" s="1"/>
    </row>
    <row r="534" spans="8:8" ht="15.75" customHeight="1">
      <c r="H534" s="1"/>
    </row>
    <row r="535" spans="8:8" ht="15.75" customHeight="1">
      <c r="H535" s="1"/>
    </row>
    <row r="536" spans="8:8" ht="15.75" customHeight="1">
      <c r="H536" s="1"/>
    </row>
    <row r="537" spans="8:8" ht="15.75" customHeight="1">
      <c r="H537" s="1"/>
    </row>
    <row r="538" spans="8:8" ht="15.75" customHeight="1">
      <c r="H538" s="1"/>
    </row>
    <row r="539" spans="8:8" ht="15.75" customHeight="1">
      <c r="H539" s="1"/>
    </row>
    <row r="540" spans="8:8" ht="15.75" customHeight="1">
      <c r="H540" s="1"/>
    </row>
    <row r="541" spans="8:8" ht="15.75" customHeight="1">
      <c r="H541" s="1"/>
    </row>
    <row r="542" spans="8:8" ht="15.75" customHeight="1">
      <c r="H542" s="1"/>
    </row>
    <row r="543" spans="8:8" ht="15.75" customHeight="1">
      <c r="H543" s="1"/>
    </row>
    <row r="544" spans="8:8" ht="15.75" customHeight="1">
      <c r="H544" s="1"/>
    </row>
    <row r="545" spans="8:8" ht="15.75" customHeight="1">
      <c r="H545" s="1"/>
    </row>
    <row r="546" spans="8:8" ht="15.75" customHeight="1">
      <c r="H546" s="1"/>
    </row>
    <row r="547" spans="8:8" ht="15.75" customHeight="1">
      <c r="H547" s="1"/>
    </row>
    <row r="548" spans="8:8" ht="15.75" customHeight="1">
      <c r="H548" s="1"/>
    </row>
    <row r="549" spans="8:8" ht="15.75" customHeight="1">
      <c r="H549" s="1"/>
    </row>
    <row r="550" spans="8:8" ht="15.75" customHeight="1">
      <c r="H550" s="1"/>
    </row>
    <row r="551" spans="8:8" ht="15.75" customHeight="1">
      <c r="H551" s="1"/>
    </row>
    <row r="552" spans="8:8" ht="15.75" customHeight="1">
      <c r="H552" s="1"/>
    </row>
    <row r="553" spans="8:8" ht="15.75" customHeight="1">
      <c r="H553" s="1"/>
    </row>
    <row r="554" spans="8:8" ht="15.75" customHeight="1">
      <c r="H554" s="1"/>
    </row>
    <row r="555" spans="8:8" ht="15.75" customHeight="1">
      <c r="H555" s="1"/>
    </row>
    <row r="556" spans="8:8" ht="15.75" customHeight="1">
      <c r="H556" s="1"/>
    </row>
    <row r="557" spans="8:8" ht="15.75" customHeight="1">
      <c r="H557" s="1"/>
    </row>
    <row r="558" spans="8:8" ht="15.75" customHeight="1">
      <c r="H558" s="1"/>
    </row>
    <row r="559" spans="8:8" ht="15.75" customHeight="1">
      <c r="H559" s="1"/>
    </row>
    <row r="560" spans="8:8" ht="15.75" customHeight="1">
      <c r="H560" s="1"/>
    </row>
    <row r="561" spans="8:8" ht="15.75" customHeight="1">
      <c r="H561" s="1"/>
    </row>
    <row r="562" spans="8:8" ht="15.75" customHeight="1">
      <c r="H562" s="1"/>
    </row>
    <row r="563" spans="8:8" ht="15.75" customHeight="1">
      <c r="H563" s="1"/>
    </row>
    <row r="564" spans="8:8" ht="15.75" customHeight="1">
      <c r="H564" s="1"/>
    </row>
    <row r="565" spans="8:8" ht="15.75" customHeight="1">
      <c r="H565" s="1"/>
    </row>
    <row r="566" spans="8:8" ht="15.75" customHeight="1">
      <c r="H566" s="1"/>
    </row>
    <row r="567" spans="8:8" ht="15.75" customHeight="1">
      <c r="H567" s="1"/>
    </row>
    <row r="568" spans="8:8" ht="15.75" customHeight="1">
      <c r="H568" s="1"/>
    </row>
    <row r="569" spans="8:8" ht="15.75" customHeight="1">
      <c r="H569" s="1"/>
    </row>
    <row r="570" spans="8:8" ht="15.75" customHeight="1">
      <c r="H570" s="1"/>
    </row>
    <row r="571" spans="8:8" ht="15.75" customHeight="1">
      <c r="H571" s="1"/>
    </row>
    <row r="572" spans="8:8" ht="15.75" customHeight="1">
      <c r="H572" s="1"/>
    </row>
    <row r="573" spans="8:8" ht="15.75" customHeight="1">
      <c r="H573" s="1"/>
    </row>
    <row r="574" spans="8:8" ht="15.75" customHeight="1">
      <c r="H574" s="1"/>
    </row>
    <row r="575" spans="8:8" ht="15.75" customHeight="1">
      <c r="H575" s="1"/>
    </row>
    <row r="576" spans="8:8" ht="15.75" customHeight="1">
      <c r="H576" s="1"/>
    </row>
    <row r="577" spans="8:8" ht="15.75" customHeight="1">
      <c r="H577" s="1"/>
    </row>
    <row r="578" spans="8:8" ht="15.75" customHeight="1">
      <c r="H578" s="1"/>
    </row>
    <row r="579" spans="8:8" ht="15.75" customHeight="1">
      <c r="H579" s="1"/>
    </row>
    <row r="580" spans="8:8" ht="15.75" customHeight="1">
      <c r="H580" s="1"/>
    </row>
    <row r="581" spans="8:8" ht="15.75" customHeight="1">
      <c r="H581" s="1"/>
    </row>
    <row r="582" spans="8:8" ht="15.75" customHeight="1">
      <c r="H582" s="1"/>
    </row>
    <row r="583" spans="8:8" ht="15.75" customHeight="1">
      <c r="H583" s="1"/>
    </row>
    <row r="584" spans="8:8" ht="15.75" customHeight="1">
      <c r="H584" s="1"/>
    </row>
    <row r="585" spans="8:8" ht="15.75" customHeight="1">
      <c r="H585" s="1"/>
    </row>
    <row r="586" spans="8:8" ht="15.75" customHeight="1">
      <c r="H586" s="1"/>
    </row>
    <row r="587" spans="8:8" ht="15.75" customHeight="1">
      <c r="H587" s="1"/>
    </row>
    <row r="588" spans="8:8" ht="15.75" customHeight="1">
      <c r="H588" s="1"/>
    </row>
    <row r="589" spans="8:8" ht="15.75" customHeight="1">
      <c r="H589" s="1"/>
    </row>
    <row r="590" spans="8:8" ht="15.75" customHeight="1">
      <c r="H590" s="1"/>
    </row>
    <row r="591" spans="8:8" ht="15.75" customHeight="1">
      <c r="H591" s="1"/>
    </row>
    <row r="592" spans="8:8" ht="15.75" customHeight="1">
      <c r="H592" s="1"/>
    </row>
    <row r="593" spans="8:8" ht="15.75" customHeight="1">
      <c r="H593" s="1"/>
    </row>
    <row r="594" spans="8:8" ht="15.75" customHeight="1">
      <c r="H594" s="1"/>
    </row>
    <row r="595" spans="8:8" ht="15.75" customHeight="1">
      <c r="H595" s="1"/>
    </row>
    <row r="596" spans="8:8" ht="15.75" customHeight="1">
      <c r="H596" s="1"/>
    </row>
    <row r="597" spans="8:8" ht="15.75" customHeight="1">
      <c r="H597" s="1"/>
    </row>
    <row r="598" spans="8:8" ht="15.75" customHeight="1">
      <c r="H598" s="1"/>
    </row>
    <row r="599" spans="8:8" ht="15.75" customHeight="1">
      <c r="H599" s="1"/>
    </row>
    <row r="600" spans="8:8" ht="15.75" customHeight="1">
      <c r="H600" s="1"/>
    </row>
    <row r="601" spans="8:8" ht="15.75" customHeight="1">
      <c r="H601" s="1"/>
    </row>
    <row r="602" spans="8:8" ht="15.75" customHeight="1">
      <c r="H602" s="1"/>
    </row>
    <row r="603" spans="8:8" ht="15.75" customHeight="1">
      <c r="H603" s="1"/>
    </row>
    <row r="604" spans="8:8" ht="15.75" customHeight="1">
      <c r="H604" s="1"/>
    </row>
    <row r="605" spans="8:8" ht="15.75" customHeight="1">
      <c r="H605" s="1"/>
    </row>
    <row r="606" spans="8:8" ht="15.75" customHeight="1">
      <c r="H606" s="1"/>
    </row>
    <row r="607" spans="8:8" ht="15.75" customHeight="1">
      <c r="H607" s="1"/>
    </row>
    <row r="608" spans="8:8" ht="15.75" customHeight="1">
      <c r="H608" s="1"/>
    </row>
    <row r="609" spans="8:8" ht="15.75" customHeight="1">
      <c r="H609" s="1"/>
    </row>
    <row r="610" spans="8:8" ht="15.75" customHeight="1">
      <c r="H610" s="1"/>
    </row>
    <row r="611" spans="8:8" ht="15.75" customHeight="1">
      <c r="H611" s="1"/>
    </row>
    <row r="612" spans="8:8" ht="15.75" customHeight="1">
      <c r="H612" s="1"/>
    </row>
    <row r="613" spans="8:8" ht="15.75" customHeight="1">
      <c r="H613" s="1"/>
    </row>
    <row r="614" spans="8:8" ht="15.75" customHeight="1">
      <c r="H614" s="1"/>
    </row>
    <row r="615" spans="8:8" ht="15.75" customHeight="1">
      <c r="H615" s="1"/>
    </row>
    <row r="616" spans="8:8" ht="15.75" customHeight="1">
      <c r="H616" s="1"/>
    </row>
    <row r="617" spans="8:8" ht="15.75" customHeight="1">
      <c r="H617" s="1"/>
    </row>
    <row r="618" spans="8:8" ht="15.75" customHeight="1">
      <c r="H618" s="1"/>
    </row>
    <row r="619" spans="8:8" ht="15.75" customHeight="1">
      <c r="H619" s="1"/>
    </row>
    <row r="620" spans="8:8" ht="15.75" customHeight="1">
      <c r="H620" s="1"/>
    </row>
    <row r="621" spans="8:8" ht="15.75" customHeight="1">
      <c r="H621" s="1"/>
    </row>
    <row r="622" spans="8:8" ht="15.75" customHeight="1">
      <c r="H622" s="1"/>
    </row>
    <row r="623" spans="8:8" ht="15.75" customHeight="1">
      <c r="H623" s="1"/>
    </row>
    <row r="624" spans="8:8" ht="15.75" customHeight="1">
      <c r="H624" s="1"/>
    </row>
    <row r="625" spans="8:8" ht="15.75" customHeight="1">
      <c r="H625" s="1"/>
    </row>
    <row r="626" spans="8:8" ht="15.75" customHeight="1">
      <c r="H626" s="1"/>
    </row>
    <row r="627" spans="8:8" ht="15.75" customHeight="1">
      <c r="H627" s="1"/>
    </row>
    <row r="628" spans="8:8" ht="15.75" customHeight="1">
      <c r="H628" s="1"/>
    </row>
    <row r="629" spans="8:8" ht="15.75" customHeight="1">
      <c r="H629" s="1"/>
    </row>
    <row r="630" spans="8:8" ht="15.75" customHeight="1">
      <c r="H630" s="1"/>
    </row>
    <row r="631" spans="8:8" ht="15.75" customHeight="1">
      <c r="H631" s="1"/>
    </row>
    <row r="632" spans="8:8" ht="15.75" customHeight="1">
      <c r="H632" s="1"/>
    </row>
    <row r="633" spans="8:8" ht="15.75" customHeight="1">
      <c r="H633" s="1"/>
    </row>
    <row r="634" spans="8:8" ht="15.75" customHeight="1">
      <c r="H634" s="1"/>
    </row>
    <row r="635" spans="8:8" ht="15.75" customHeight="1">
      <c r="H635" s="1"/>
    </row>
    <row r="636" spans="8:8" ht="15.75" customHeight="1">
      <c r="H636" s="1"/>
    </row>
    <row r="637" spans="8:8" ht="15.75" customHeight="1">
      <c r="H637" s="1"/>
    </row>
    <row r="638" spans="8:8" ht="15.75" customHeight="1">
      <c r="H638" s="1"/>
    </row>
    <row r="639" spans="8:8" ht="15.75" customHeight="1">
      <c r="H639" s="1"/>
    </row>
    <row r="640" spans="8:8" ht="15.75" customHeight="1">
      <c r="H640" s="1"/>
    </row>
    <row r="641" spans="8:8" ht="15.75" customHeight="1">
      <c r="H641" s="1"/>
    </row>
    <row r="642" spans="8:8" ht="15.75" customHeight="1">
      <c r="H642" s="1"/>
    </row>
    <row r="643" spans="8:8" ht="15.75" customHeight="1">
      <c r="H643" s="1"/>
    </row>
    <row r="644" spans="8:8" ht="15.75" customHeight="1">
      <c r="H644" s="1"/>
    </row>
    <row r="645" spans="8:8" ht="15.75" customHeight="1">
      <c r="H645" s="1"/>
    </row>
    <row r="646" spans="8:8" ht="15.75" customHeight="1">
      <c r="H646" s="1"/>
    </row>
    <row r="647" spans="8:8" ht="15.75" customHeight="1">
      <c r="H647" s="1"/>
    </row>
    <row r="648" spans="8:8" ht="15.75" customHeight="1">
      <c r="H648" s="1"/>
    </row>
    <row r="649" spans="8:8" ht="15.75" customHeight="1">
      <c r="H649" s="1"/>
    </row>
    <row r="650" spans="8:8" ht="15.75" customHeight="1">
      <c r="H650" s="1"/>
    </row>
    <row r="651" spans="8:8" ht="15.75" customHeight="1">
      <c r="H651" s="1"/>
    </row>
    <row r="652" spans="8:8" ht="15.75" customHeight="1">
      <c r="H652" s="1"/>
    </row>
    <row r="653" spans="8:8" ht="15.75" customHeight="1">
      <c r="H653" s="1"/>
    </row>
    <row r="654" spans="8:8" ht="15.75" customHeight="1">
      <c r="H654" s="1"/>
    </row>
    <row r="655" spans="8:8" ht="15.75" customHeight="1">
      <c r="H655" s="1"/>
    </row>
    <row r="656" spans="8:8" ht="15.75" customHeight="1">
      <c r="H656" s="1"/>
    </row>
    <row r="657" spans="8:8" ht="15.75" customHeight="1">
      <c r="H657" s="1"/>
    </row>
    <row r="658" spans="8:8" ht="15.75" customHeight="1">
      <c r="H658" s="1"/>
    </row>
    <row r="659" spans="8:8" ht="15.75" customHeight="1">
      <c r="H659" s="1"/>
    </row>
    <row r="660" spans="8:8" ht="15.75" customHeight="1">
      <c r="H660" s="1"/>
    </row>
    <row r="661" spans="8:8" ht="15.75" customHeight="1">
      <c r="H661" s="1"/>
    </row>
    <row r="662" spans="8:8" ht="15.75" customHeight="1">
      <c r="H662" s="1"/>
    </row>
    <row r="663" spans="8:8" ht="15.75" customHeight="1">
      <c r="H663" s="1"/>
    </row>
    <row r="664" spans="8:8" ht="15.75" customHeight="1">
      <c r="H664" s="1"/>
    </row>
    <row r="665" spans="8:8" ht="15.75" customHeight="1">
      <c r="H665" s="1"/>
    </row>
    <row r="666" spans="8:8" ht="15.75" customHeight="1">
      <c r="H666" s="1"/>
    </row>
    <row r="667" spans="8:8" ht="15.75" customHeight="1">
      <c r="H667" s="1"/>
    </row>
    <row r="668" spans="8:8" ht="15.75" customHeight="1">
      <c r="H668" s="1"/>
    </row>
    <row r="669" spans="8:8" ht="15.75" customHeight="1">
      <c r="H669" s="1"/>
    </row>
    <row r="670" spans="8:8" ht="15.75" customHeight="1">
      <c r="H670" s="1"/>
    </row>
    <row r="671" spans="8:8" ht="15.75" customHeight="1">
      <c r="H671" s="1"/>
    </row>
    <row r="672" spans="8:8" ht="15.75" customHeight="1">
      <c r="H672" s="1"/>
    </row>
    <row r="673" spans="8:8" ht="15.75" customHeight="1">
      <c r="H673" s="1"/>
    </row>
    <row r="674" spans="8:8" ht="15.75" customHeight="1">
      <c r="H674" s="1"/>
    </row>
    <row r="675" spans="8:8" ht="15.75" customHeight="1">
      <c r="H675" s="1"/>
    </row>
    <row r="676" spans="8:8" ht="15.75" customHeight="1">
      <c r="H676" s="1"/>
    </row>
    <row r="677" spans="8:8" ht="15.75" customHeight="1">
      <c r="H677" s="1"/>
    </row>
    <row r="678" spans="8:8" ht="15.75" customHeight="1">
      <c r="H678" s="1"/>
    </row>
    <row r="679" spans="8:8" ht="15.75" customHeight="1">
      <c r="H679" s="1"/>
    </row>
    <row r="680" spans="8:8" ht="15.75" customHeight="1">
      <c r="H680" s="1"/>
    </row>
    <row r="681" spans="8:8" ht="15.75" customHeight="1">
      <c r="H681" s="1"/>
    </row>
    <row r="682" spans="8:8" ht="15.75" customHeight="1">
      <c r="H682" s="1"/>
    </row>
    <row r="683" spans="8:8" ht="15.75" customHeight="1">
      <c r="H683" s="1"/>
    </row>
    <row r="684" spans="8:8" ht="15.75" customHeight="1">
      <c r="H684" s="1"/>
    </row>
    <row r="685" spans="8:8" ht="15.75" customHeight="1">
      <c r="H685" s="1"/>
    </row>
    <row r="686" spans="8:8" ht="15.75" customHeight="1">
      <c r="H686" s="1"/>
    </row>
    <row r="687" spans="8:8" ht="15.75" customHeight="1">
      <c r="H687" s="1"/>
    </row>
    <row r="688" spans="8:8" ht="15.75" customHeight="1">
      <c r="H688" s="1"/>
    </row>
    <row r="689" spans="8:8" ht="15.75" customHeight="1">
      <c r="H689" s="1"/>
    </row>
    <row r="690" spans="8:8" ht="15.75" customHeight="1">
      <c r="H690" s="1"/>
    </row>
    <row r="691" spans="8:8" ht="15.75" customHeight="1">
      <c r="H691" s="1"/>
    </row>
    <row r="692" spans="8:8" ht="15.75" customHeight="1">
      <c r="H692" s="1"/>
    </row>
    <row r="693" spans="8:8" ht="15.75" customHeight="1">
      <c r="H693" s="1"/>
    </row>
    <row r="694" spans="8:8" ht="15.75" customHeight="1">
      <c r="H694" s="1"/>
    </row>
    <row r="695" spans="8:8" ht="15.75" customHeight="1">
      <c r="H695" s="1"/>
    </row>
    <row r="696" spans="8:8" ht="15.75" customHeight="1">
      <c r="H696" s="1"/>
    </row>
    <row r="697" spans="8:8" ht="15.75" customHeight="1">
      <c r="H697" s="1"/>
    </row>
    <row r="698" spans="8:8" ht="15.75" customHeight="1">
      <c r="H698" s="1"/>
    </row>
    <row r="699" spans="8:8" ht="15.75" customHeight="1">
      <c r="H699" s="1"/>
    </row>
    <row r="700" spans="8:8" ht="15.75" customHeight="1">
      <c r="H700" s="1"/>
    </row>
    <row r="701" spans="8:8" ht="15.75" customHeight="1">
      <c r="H701" s="1"/>
    </row>
    <row r="702" spans="8:8" ht="15.75" customHeight="1">
      <c r="H702" s="1"/>
    </row>
    <row r="703" spans="8:8" ht="15.75" customHeight="1">
      <c r="H703" s="1"/>
    </row>
    <row r="704" spans="8:8" ht="15.75" customHeight="1">
      <c r="H704" s="1"/>
    </row>
    <row r="705" spans="8:8" ht="15.75" customHeight="1">
      <c r="H705" s="1"/>
    </row>
    <row r="706" spans="8:8" ht="15.75" customHeight="1">
      <c r="H706" s="1"/>
    </row>
    <row r="707" spans="8:8" ht="15.75" customHeight="1">
      <c r="H707" s="1"/>
    </row>
    <row r="708" spans="8:8" ht="15.75" customHeight="1">
      <c r="H708" s="1"/>
    </row>
    <row r="709" spans="8:8" ht="15.75" customHeight="1">
      <c r="H709" s="1"/>
    </row>
    <row r="710" spans="8:8" ht="15.75" customHeight="1">
      <c r="H710" s="1"/>
    </row>
    <row r="711" spans="8:8" ht="15.75" customHeight="1">
      <c r="H711" s="1"/>
    </row>
    <row r="712" spans="8:8" ht="15.75" customHeight="1">
      <c r="H712" s="1"/>
    </row>
    <row r="713" spans="8:8" ht="15.75" customHeight="1">
      <c r="H713" s="1"/>
    </row>
    <row r="714" spans="8:8" ht="15.75" customHeight="1">
      <c r="H714" s="1"/>
    </row>
    <row r="715" spans="8:8" ht="15.75" customHeight="1">
      <c r="H715" s="1"/>
    </row>
    <row r="716" spans="8:8" ht="15.75" customHeight="1">
      <c r="H716" s="1"/>
    </row>
    <row r="717" spans="8:8" ht="15.75" customHeight="1">
      <c r="H717" s="1"/>
    </row>
    <row r="718" spans="8:8" ht="15.75" customHeight="1">
      <c r="H718" s="1"/>
    </row>
    <row r="719" spans="8:8" ht="15.75" customHeight="1">
      <c r="H719" s="1"/>
    </row>
    <row r="720" spans="8:8" ht="15.75" customHeight="1">
      <c r="H720" s="1"/>
    </row>
    <row r="721" spans="8:8" ht="15.75" customHeight="1">
      <c r="H721" s="1"/>
    </row>
    <row r="722" spans="8:8" ht="15.75" customHeight="1">
      <c r="H722" s="1"/>
    </row>
    <row r="723" spans="8:8" ht="15.75" customHeight="1">
      <c r="H723" s="1"/>
    </row>
    <row r="724" spans="8:8" ht="15.75" customHeight="1">
      <c r="H724" s="1"/>
    </row>
    <row r="725" spans="8:8" ht="15.75" customHeight="1">
      <c r="H725" s="1"/>
    </row>
    <row r="726" spans="8:8" ht="15.75" customHeight="1">
      <c r="H726" s="1"/>
    </row>
    <row r="727" spans="8:8" ht="15.75" customHeight="1">
      <c r="H727" s="1"/>
    </row>
    <row r="728" spans="8:8" ht="15.75" customHeight="1">
      <c r="H728" s="1"/>
    </row>
    <row r="729" spans="8:8" ht="15.75" customHeight="1">
      <c r="H729" s="1"/>
    </row>
    <row r="730" spans="8:8" ht="15.75" customHeight="1">
      <c r="H730" s="1"/>
    </row>
    <row r="731" spans="8:8" ht="15.75" customHeight="1">
      <c r="H731" s="1"/>
    </row>
    <row r="732" spans="8:8" ht="15.75" customHeight="1">
      <c r="H732" s="1"/>
    </row>
    <row r="733" spans="8:8" ht="15.75" customHeight="1">
      <c r="H733" s="1"/>
    </row>
    <row r="734" spans="8:8" ht="15.75" customHeight="1">
      <c r="H734" s="1"/>
    </row>
    <row r="735" spans="8:8" ht="15.75" customHeight="1">
      <c r="H735" s="1"/>
    </row>
    <row r="736" spans="8:8" ht="15.75" customHeight="1">
      <c r="H736" s="1"/>
    </row>
    <row r="737" spans="8:8" ht="15.75" customHeight="1">
      <c r="H737" s="1"/>
    </row>
    <row r="738" spans="8:8" ht="15.75" customHeight="1">
      <c r="H738" s="1"/>
    </row>
    <row r="739" spans="8:8" ht="15.75" customHeight="1">
      <c r="H739" s="1"/>
    </row>
    <row r="740" spans="8:8" ht="15.75" customHeight="1">
      <c r="H740" s="1"/>
    </row>
    <row r="741" spans="8:8" ht="15.75" customHeight="1">
      <c r="H741" s="1"/>
    </row>
    <row r="742" spans="8:8" ht="15.75" customHeight="1">
      <c r="H742" s="1"/>
    </row>
    <row r="743" spans="8:8" ht="15.75" customHeight="1">
      <c r="H743" s="1"/>
    </row>
    <row r="744" spans="8:8" ht="15.75" customHeight="1">
      <c r="H744" s="1"/>
    </row>
    <row r="745" spans="8:8" ht="15.75" customHeight="1">
      <c r="H745" s="1"/>
    </row>
    <row r="746" spans="8:8" ht="15.75" customHeight="1">
      <c r="H746" s="1"/>
    </row>
    <row r="747" spans="8:8" ht="15.75" customHeight="1">
      <c r="H747" s="1"/>
    </row>
    <row r="748" spans="8:8" ht="15.75" customHeight="1">
      <c r="H748" s="1"/>
    </row>
    <row r="749" spans="8:8" ht="15.75" customHeight="1">
      <c r="H749" s="1"/>
    </row>
    <row r="750" spans="8:8" ht="15.75" customHeight="1">
      <c r="H750" s="1"/>
    </row>
    <row r="751" spans="8:8" ht="15.75" customHeight="1">
      <c r="H751" s="1"/>
    </row>
    <row r="752" spans="8:8" ht="15.75" customHeight="1">
      <c r="H752" s="1"/>
    </row>
    <row r="753" spans="8:8" ht="15.75" customHeight="1">
      <c r="H753" s="1"/>
    </row>
    <row r="754" spans="8:8" ht="15.75" customHeight="1">
      <c r="H754" s="1"/>
    </row>
    <row r="755" spans="8:8" ht="15.75" customHeight="1">
      <c r="H755" s="1"/>
    </row>
    <row r="756" spans="8:8" ht="15.75" customHeight="1">
      <c r="H756" s="1"/>
    </row>
    <row r="757" spans="8:8" ht="15.75" customHeight="1">
      <c r="H757" s="1"/>
    </row>
    <row r="758" spans="8:8" ht="15.75" customHeight="1">
      <c r="H758" s="1"/>
    </row>
    <row r="759" spans="8:8" ht="15.75" customHeight="1">
      <c r="H759" s="1"/>
    </row>
    <row r="760" spans="8:8" ht="15.75" customHeight="1">
      <c r="H760" s="1"/>
    </row>
    <row r="761" spans="8:8" ht="15.75" customHeight="1">
      <c r="H761" s="1"/>
    </row>
    <row r="762" spans="8:8" ht="15.75" customHeight="1">
      <c r="H762" s="1"/>
    </row>
    <row r="763" spans="8:8" ht="15.75" customHeight="1">
      <c r="H763" s="1"/>
    </row>
    <row r="764" spans="8:8" ht="15.75" customHeight="1">
      <c r="H764" s="1"/>
    </row>
    <row r="765" spans="8:8" ht="15.75" customHeight="1">
      <c r="H765" s="1"/>
    </row>
    <row r="766" spans="8:8" ht="15.75" customHeight="1">
      <c r="H766" s="1"/>
    </row>
    <row r="767" spans="8:8" ht="15.75" customHeight="1">
      <c r="H767" s="1"/>
    </row>
    <row r="768" spans="8:8" ht="15.75" customHeight="1">
      <c r="H768" s="1"/>
    </row>
    <row r="769" spans="8:8" ht="15.75" customHeight="1">
      <c r="H769" s="1"/>
    </row>
    <row r="770" spans="8:8" ht="15.75" customHeight="1">
      <c r="H770" s="1"/>
    </row>
    <row r="771" spans="8:8" ht="15.75" customHeight="1">
      <c r="H771" s="1"/>
    </row>
    <row r="772" spans="8:8" ht="15.75" customHeight="1">
      <c r="H772" s="1"/>
    </row>
    <row r="773" spans="8:8" ht="15.75" customHeight="1">
      <c r="H773" s="1"/>
    </row>
    <row r="774" spans="8:8" ht="15.75" customHeight="1">
      <c r="H774" s="1"/>
    </row>
    <row r="775" spans="8:8" ht="15.75" customHeight="1">
      <c r="H775" s="1"/>
    </row>
    <row r="776" spans="8:8" ht="15.75" customHeight="1">
      <c r="H776" s="1"/>
    </row>
    <row r="777" spans="8:8" ht="15.75" customHeight="1">
      <c r="H777" s="1"/>
    </row>
    <row r="778" spans="8:8" ht="15.75" customHeight="1">
      <c r="H778" s="1"/>
    </row>
    <row r="779" spans="8:8" ht="15.75" customHeight="1">
      <c r="H779" s="1"/>
    </row>
    <row r="780" spans="8:8" ht="15.75" customHeight="1">
      <c r="H780" s="1"/>
    </row>
    <row r="781" spans="8:8" ht="15.75" customHeight="1">
      <c r="H781" s="1"/>
    </row>
    <row r="782" spans="8:8" ht="15.75" customHeight="1">
      <c r="H782" s="1"/>
    </row>
    <row r="783" spans="8:8" ht="15.75" customHeight="1">
      <c r="H783" s="1"/>
    </row>
    <row r="784" spans="8:8" ht="15.75" customHeight="1">
      <c r="H784" s="1"/>
    </row>
    <row r="785" spans="8:8" ht="15.75" customHeight="1">
      <c r="H785" s="1"/>
    </row>
    <row r="786" spans="8:8" ht="15.75" customHeight="1">
      <c r="H786" s="1"/>
    </row>
    <row r="787" spans="8:8" ht="15.75" customHeight="1">
      <c r="H787" s="1"/>
    </row>
    <row r="788" spans="8:8" ht="15.75" customHeight="1">
      <c r="H788" s="1"/>
    </row>
    <row r="789" spans="8:8" ht="15.75" customHeight="1">
      <c r="H789" s="1"/>
    </row>
    <row r="790" spans="8:8" ht="15.75" customHeight="1">
      <c r="H790" s="1"/>
    </row>
    <row r="791" spans="8:8" ht="15.75" customHeight="1">
      <c r="H791" s="1"/>
    </row>
    <row r="792" spans="8:8" ht="15.75" customHeight="1">
      <c r="H792" s="1"/>
    </row>
    <row r="793" spans="8:8" ht="15.75" customHeight="1">
      <c r="H793" s="1"/>
    </row>
    <row r="794" spans="8:8" ht="15.75" customHeight="1">
      <c r="H794" s="1"/>
    </row>
    <row r="795" spans="8:8" ht="15.75" customHeight="1">
      <c r="H795" s="1"/>
    </row>
    <row r="796" spans="8:8" ht="15.75" customHeight="1">
      <c r="H796" s="1"/>
    </row>
    <row r="797" spans="8:8" ht="15.75" customHeight="1">
      <c r="H797" s="1"/>
    </row>
    <row r="798" spans="8:8" ht="15.75" customHeight="1">
      <c r="H798" s="1"/>
    </row>
    <row r="799" spans="8:8" ht="15.75" customHeight="1">
      <c r="H799" s="1"/>
    </row>
    <row r="800" spans="8:8" ht="15.75" customHeight="1">
      <c r="H800" s="1"/>
    </row>
    <row r="801" spans="8:8" ht="15.75" customHeight="1">
      <c r="H801" s="1"/>
    </row>
    <row r="802" spans="8:8" ht="15.75" customHeight="1">
      <c r="H802" s="1"/>
    </row>
    <row r="803" spans="8:8" ht="15.75" customHeight="1">
      <c r="H803" s="1"/>
    </row>
    <row r="804" spans="8:8" ht="15.75" customHeight="1">
      <c r="H804" s="1"/>
    </row>
    <row r="805" spans="8:8" ht="15.75" customHeight="1">
      <c r="H805" s="1"/>
    </row>
    <row r="806" spans="8:8" ht="15.75" customHeight="1">
      <c r="H806" s="1"/>
    </row>
    <row r="807" spans="8:8" ht="15.75" customHeight="1">
      <c r="H807" s="1"/>
    </row>
    <row r="808" spans="8:8" ht="15.75" customHeight="1">
      <c r="H808" s="1"/>
    </row>
    <row r="809" spans="8:8" ht="15.75" customHeight="1">
      <c r="H809" s="1"/>
    </row>
    <row r="810" spans="8:8" ht="15.75" customHeight="1">
      <c r="H810" s="1"/>
    </row>
    <row r="811" spans="8:8" ht="15.75" customHeight="1">
      <c r="H811" s="1"/>
    </row>
    <row r="812" spans="8:8" ht="15.75" customHeight="1">
      <c r="H812" s="1"/>
    </row>
    <row r="813" spans="8:8" ht="15.75" customHeight="1">
      <c r="H813" s="1"/>
    </row>
    <row r="814" spans="8:8" ht="15.75" customHeight="1">
      <c r="H814" s="1"/>
    </row>
    <row r="815" spans="8:8" ht="15.75" customHeight="1">
      <c r="H815" s="1"/>
    </row>
    <row r="816" spans="8:8" ht="15.75" customHeight="1">
      <c r="H816" s="1"/>
    </row>
    <row r="817" spans="8:8" ht="15.75" customHeight="1">
      <c r="H817" s="1"/>
    </row>
    <row r="818" spans="8:8" ht="15.75" customHeight="1">
      <c r="H818" s="1"/>
    </row>
    <row r="819" spans="8:8" ht="15.75" customHeight="1">
      <c r="H819" s="1"/>
    </row>
    <row r="820" spans="8:8" ht="15.75" customHeight="1">
      <c r="H820" s="1"/>
    </row>
    <row r="821" spans="8:8" ht="15.75" customHeight="1">
      <c r="H821" s="1"/>
    </row>
    <row r="822" spans="8:8" ht="15.75" customHeight="1">
      <c r="H822" s="1"/>
    </row>
    <row r="823" spans="8:8" ht="15.75" customHeight="1">
      <c r="H823" s="1"/>
    </row>
    <row r="824" spans="8:8" ht="15.75" customHeight="1">
      <c r="H824" s="1"/>
    </row>
    <row r="825" spans="8:8" ht="15.75" customHeight="1">
      <c r="H825" s="1"/>
    </row>
    <row r="826" spans="8:8" ht="15.75" customHeight="1">
      <c r="H826" s="1"/>
    </row>
    <row r="827" spans="8:8" ht="15.75" customHeight="1">
      <c r="H827" s="1"/>
    </row>
    <row r="828" spans="8:8" ht="15.75" customHeight="1">
      <c r="H828" s="1"/>
    </row>
    <row r="829" spans="8:8" ht="15.75" customHeight="1">
      <c r="H829" s="1"/>
    </row>
    <row r="830" spans="8:8" ht="15.75" customHeight="1">
      <c r="H830" s="1"/>
    </row>
    <row r="831" spans="8:8" ht="15.75" customHeight="1">
      <c r="H831" s="1"/>
    </row>
    <row r="832" spans="8:8" ht="15.75" customHeight="1">
      <c r="H832" s="1"/>
    </row>
    <row r="833" spans="8:8" ht="15.75" customHeight="1">
      <c r="H833" s="1"/>
    </row>
    <row r="834" spans="8:8" ht="15.75" customHeight="1">
      <c r="H834" s="1"/>
    </row>
    <row r="835" spans="8:8" ht="15.75" customHeight="1">
      <c r="H835" s="1"/>
    </row>
    <row r="836" spans="8:8" ht="15.75" customHeight="1">
      <c r="H836" s="1"/>
    </row>
    <row r="837" spans="8:8" ht="15.75" customHeight="1">
      <c r="H837" s="1"/>
    </row>
    <row r="838" spans="8:8" ht="15.75" customHeight="1">
      <c r="H838" s="1"/>
    </row>
    <row r="839" spans="8:8" ht="15.75" customHeight="1">
      <c r="H839" s="1"/>
    </row>
    <row r="840" spans="8:8" ht="15.75" customHeight="1">
      <c r="H840" s="1"/>
    </row>
    <row r="841" spans="8:8" ht="15.75" customHeight="1">
      <c r="H841" s="1"/>
    </row>
    <row r="842" spans="8:8" ht="15.75" customHeight="1">
      <c r="H842" s="1"/>
    </row>
    <row r="843" spans="8:8" ht="15.75" customHeight="1">
      <c r="H843" s="1"/>
    </row>
    <row r="844" spans="8:8" ht="15.75" customHeight="1">
      <c r="H844" s="1"/>
    </row>
    <row r="845" spans="8:8" ht="15.75" customHeight="1">
      <c r="H845" s="1"/>
    </row>
    <row r="846" spans="8:8" ht="15.75" customHeight="1">
      <c r="H846" s="1"/>
    </row>
    <row r="847" spans="8:8" ht="15.75" customHeight="1">
      <c r="H847" s="1"/>
    </row>
    <row r="848" spans="8:8" ht="15.75" customHeight="1">
      <c r="H848" s="1"/>
    </row>
    <row r="849" spans="8:8" ht="15.75" customHeight="1">
      <c r="H849" s="1"/>
    </row>
    <row r="850" spans="8:8" ht="15.75" customHeight="1">
      <c r="H850" s="1"/>
    </row>
    <row r="851" spans="8:8" ht="15.75" customHeight="1">
      <c r="H851" s="1"/>
    </row>
    <row r="852" spans="8:8" ht="15.75" customHeight="1">
      <c r="H852" s="1"/>
    </row>
    <row r="853" spans="8:8" ht="15.75" customHeight="1">
      <c r="H853" s="1"/>
    </row>
    <row r="854" spans="8:8" ht="15.75" customHeight="1">
      <c r="H854" s="1"/>
    </row>
    <row r="855" spans="8:8" ht="15.75" customHeight="1">
      <c r="H855" s="1"/>
    </row>
    <row r="856" spans="8:8" ht="15.75" customHeight="1">
      <c r="H856" s="1"/>
    </row>
    <row r="857" spans="8:8" ht="15.75" customHeight="1">
      <c r="H857" s="1"/>
    </row>
    <row r="858" spans="8:8" ht="15.75" customHeight="1">
      <c r="H858" s="1"/>
    </row>
    <row r="859" spans="8:8" ht="15.75" customHeight="1">
      <c r="H859" s="1"/>
    </row>
    <row r="860" spans="8:8" ht="15.75" customHeight="1">
      <c r="H860" s="1"/>
    </row>
    <row r="861" spans="8:8" ht="15.75" customHeight="1">
      <c r="H861" s="1"/>
    </row>
    <row r="862" spans="8:8" ht="15.75" customHeight="1">
      <c r="H862" s="1"/>
    </row>
    <row r="863" spans="8:8" ht="15.75" customHeight="1">
      <c r="H863" s="1"/>
    </row>
    <row r="864" spans="8:8" ht="15.75" customHeight="1">
      <c r="H864" s="1"/>
    </row>
    <row r="865" spans="8:8" ht="15.75" customHeight="1">
      <c r="H865" s="1"/>
    </row>
    <row r="866" spans="8:8" ht="15.75" customHeight="1">
      <c r="H866" s="1"/>
    </row>
    <row r="867" spans="8:8" ht="15.75" customHeight="1">
      <c r="H867" s="1"/>
    </row>
    <row r="868" spans="8:8" ht="15.75" customHeight="1">
      <c r="H868" s="1"/>
    </row>
    <row r="869" spans="8:8" ht="15.75" customHeight="1">
      <c r="H869" s="1"/>
    </row>
    <row r="870" spans="8:8" ht="15.75" customHeight="1">
      <c r="H870" s="1"/>
    </row>
    <row r="871" spans="8:8" ht="15.75" customHeight="1">
      <c r="H871" s="1"/>
    </row>
    <row r="872" spans="8:8" ht="15.75" customHeight="1">
      <c r="H872" s="1"/>
    </row>
    <row r="873" spans="8:8" ht="15.75" customHeight="1">
      <c r="H873" s="1"/>
    </row>
    <row r="874" spans="8:8" ht="15.75" customHeight="1">
      <c r="H874" s="1"/>
    </row>
    <row r="875" spans="8:8" ht="15.75" customHeight="1">
      <c r="H875" s="1"/>
    </row>
    <row r="876" spans="8:8" ht="15.75" customHeight="1">
      <c r="H876" s="1"/>
    </row>
    <row r="877" spans="8:8" ht="15.75" customHeight="1">
      <c r="H877" s="1"/>
    </row>
    <row r="878" spans="8:8" ht="15.75" customHeight="1">
      <c r="H878" s="1"/>
    </row>
    <row r="879" spans="8:8" ht="15.75" customHeight="1">
      <c r="H879" s="1"/>
    </row>
    <row r="880" spans="8:8" ht="15.75" customHeight="1">
      <c r="H880" s="1"/>
    </row>
    <row r="881" spans="8:8" ht="15.75" customHeight="1">
      <c r="H881" s="1"/>
    </row>
    <row r="882" spans="8:8" ht="15.75" customHeight="1">
      <c r="H882" s="1"/>
    </row>
    <row r="883" spans="8:8" ht="15.75" customHeight="1">
      <c r="H883" s="1"/>
    </row>
    <row r="884" spans="8:8" ht="15.75" customHeight="1">
      <c r="H884" s="1"/>
    </row>
    <row r="885" spans="8:8" ht="15.75" customHeight="1">
      <c r="H885" s="1"/>
    </row>
    <row r="886" spans="8:8" ht="15.75" customHeight="1">
      <c r="H886" s="1"/>
    </row>
    <row r="887" spans="8:8" ht="15.75" customHeight="1">
      <c r="H887" s="1"/>
    </row>
    <row r="888" spans="8:8" ht="15.75" customHeight="1">
      <c r="H888" s="1"/>
    </row>
    <row r="889" spans="8:8" ht="15.75" customHeight="1">
      <c r="H889" s="1"/>
    </row>
    <row r="890" spans="8:8" ht="15.75" customHeight="1">
      <c r="H890" s="1"/>
    </row>
    <row r="891" spans="8:8" ht="15.75" customHeight="1">
      <c r="H891" s="1"/>
    </row>
    <row r="892" spans="8:8" ht="15.75" customHeight="1">
      <c r="H892" s="1"/>
    </row>
    <row r="893" spans="8:8" ht="15.75" customHeight="1">
      <c r="H893" s="1"/>
    </row>
    <row r="894" spans="8:8" ht="15.75" customHeight="1">
      <c r="H894" s="1"/>
    </row>
    <row r="895" spans="8:8" ht="15.75" customHeight="1">
      <c r="H895" s="1"/>
    </row>
    <row r="896" spans="8:8" ht="15.75" customHeight="1">
      <c r="H896" s="1"/>
    </row>
    <row r="897" spans="8:8" ht="15.75" customHeight="1">
      <c r="H897" s="1"/>
    </row>
    <row r="898" spans="8:8" ht="15.75" customHeight="1">
      <c r="H898" s="1"/>
    </row>
    <row r="899" spans="8:8" ht="15.75" customHeight="1">
      <c r="H899" s="1"/>
    </row>
    <row r="900" spans="8:8" ht="15.75" customHeight="1">
      <c r="H900" s="1"/>
    </row>
    <row r="901" spans="8:8" ht="15.75" customHeight="1">
      <c r="H901" s="1"/>
    </row>
    <row r="902" spans="8:8" ht="15.75" customHeight="1">
      <c r="H902" s="1"/>
    </row>
    <row r="903" spans="8:8" ht="15.75" customHeight="1">
      <c r="H903" s="1"/>
    </row>
    <row r="904" spans="8:8" ht="15.75" customHeight="1">
      <c r="H904" s="1"/>
    </row>
    <row r="905" spans="8:8" ht="15.75" customHeight="1">
      <c r="H905" s="1"/>
    </row>
    <row r="906" spans="8:8" ht="15.75" customHeight="1">
      <c r="H906" s="1"/>
    </row>
    <row r="907" spans="8:8" ht="15.75" customHeight="1">
      <c r="H907" s="1"/>
    </row>
    <row r="908" spans="8:8" ht="15.75" customHeight="1">
      <c r="H908" s="1"/>
    </row>
    <row r="909" spans="8:8" ht="15.75" customHeight="1">
      <c r="H909" s="1"/>
    </row>
    <row r="910" spans="8:8" ht="15.75" customHeight="1">
      <c r="H910" s="1"/>
    </row>
    <row r="911" spans="8:8" ht="15.75" customHeight="1">
      <c r="H911" s="1"/>
    </row>
    <row r="912" spans="8:8" ht="15.75" customHeight="1">
      <c r="H912" s="1"/>
    </row>
    <row r="913" spans="8:8" ht="15.75" customHeight="1">
      <c r="H913" s="1"/>
    </row>
    <row r="914" spans="8:8" ht="15.75" customHeight="1">
      <c r="H914" s="1"/>
    </row>
    <row r="915" spans="8:8" ht="15.75" customHeight="1">
      <c r="H915" s="1"/>
    </row>
    <row r="916" spans="8:8" ht="15.75" customHeight="1">
      <c r="H916" s="1"/>
    </row>
    <row r="917" spans="8:8" ht="15.75" customHeight="1">
      <c r="H917" s="1"/>
    </row>
    <row r="918" spans="8:8" ht="15.75" customHeight="1">
      <c r="H918" s="1"/>
    </row>
    <row r="919" spans="8:8" ht="15.75" customHeight="1">
      <c r="H919" s="1"/>
    </row>
    <row r="920" spans="8:8" ht="15.75" customHeight="1">
      <c r="H920" s="1"/>
    </row>
    <row r="921" spans="8:8" ht="15.75" customHeight="1">
      <c r="H921" s="1"/>
    </row>
    <row r="922" spans="8:8" ht="15.75" customHeight="1">
      <c r="H922" s="1"/>
    </row>
    <row r="923" spans="8:8" ht="15.75" customHeight="1">
      <c r="H923" s="1"/>
    </row>
    <row r="924" spans="8:8" ht="15.75" customHeight="1">
      <c r="H924" s="1"/>
    </row>
    <row r="925" spans="8:8" ht="15.75" customHeight="1">
      <c r="H925" s="1"/>
    </row>
    <row r="926" spans="8:8" ht="15.75" customHeight="1">
      <c r="H926" s="1"/>
    </row>
    <row r="927" spans="8:8" ht="15.75" customHeight="1">
      <c r="H927" s="1"/>
    </row>
    <row r="928" spans="8:8" ht="15.75" customHeight="1">
      <c r="H928" s="1"/>
    </row>
    <row r="929" spans="8:8" ht="15.75" customHeight="1">
      <c r="H929" s="1"/>
    </row>
    <row r="930" spans="8:8" ht="15.75" customHeight="1">
      <c r="H930" s="1"/>
    </row>
    <row r="931" spans="8:8" ht="15.75" customHeight="1">
      <c r="H931" s="1"/>
    </row>
    <row r="932" spans="8:8" ht="15.75" customHeight="1">
      <c r="H932" s="1"/>
    </row>
    <row r="933" spans="8:8" ht="15.75" customHeight="1">
      <c r="H933" s="1"/>
    </row>
    <row r="934" spans="8:8" ht="15.75" customHeight="1">
      <c r="H934" s="1"/>
    </row>
    <row r="935" spans="8:8" ht="15.75" customHeight="1">
      <c r="H935" s="1"/>
    </row>
    <row r="936" spans="8:8" ht="15.75" customHeight="1">
      <c r="H936" s="1"/>
    </row>
    <row r="937" spans="8:8" ht="15.75" customHeight="1">
      <c r="H937" s="1"/>
    </row>
    <row r="938" spans="8:8" ht="15.75" customHeight="1">
      <c r="H938" s="1"/>
    </row>
    <row r="939" spans="8:8" ht="15.75" customHeight="1">
      <c r="H939" s="1"/>
    </row>
    <row r="940" spans="8:8" ht="15.75" customHeight="1">
      <c r="H940" s="1"/>
    </row>
    <row r="941" spans="8:8" ht="15.75" customHeight="1">
      <c r="H941" s="1"/>
    </row>
    <row r="942" spans="8:8" ht="15.75" customHeight="1">
      <c r="H942" s="1"/>
    </row>
    <row r="943" spans="8:8" ht="15.75" customHeight="1">
      <c r="H943" s="1"/>
    </row>
    <row r="944" spans="8:8" ht="15.75" customHeight="1">
      <c r="H944" s="1"/>
    </row>
    <row r="945" spans="8:8" ht="15.75" customHeight="1">
      <c r="H945" s="1"/>
    </row>
    <row r="946" spans="8:8" ht="15.75" customHeight="1">
      <c r="H946" s="1"/>
    </row>
    <row r="947" spans="8:8" ht="15.75" customHeight="1">
      <c r="H947" s="1"/>
    </row>
    <row r="948" spans="8:8" ht="15.75" customHeight="1">
      <c r="H948" s="1"/>
    </row>
    <row r="949" spans="8:8" ht="15.75" customHeight="1">
      <c r="H949" s="1"/>
    </row>
    <row r="950" spans="8:8" ht="15.75" customHeight="1">
      <c r="H950" s="1"/>
    </row>
    <row r="951" spans="8:8" ht="15.75" customHeight="1">
      <c r="H951" s="1"/>
    </row>
    <row r="952" spans="8:8" ht="15.75" customHeight="1">
      <c r="H952" s="1"/>
    </row>
    <row r="953" spans="8:8" ht="15.75" customHeight="1">
      <c r="H953" s="1"/>
    </row>
    <row r="954" spans="8:8" ht="15.75" customHeight="1">
      <c r="H954" s="1"/>
    </row>
    <row r="955" spans="8:8" ht="15.75" customHeight="1">
      <c r="H955" s="1"/>
    </row>
    <row r="956" spans="8:8" ht="15.75" customHeight="1">
      <c r="H956" s="1"/>
    </row>
    <row r="957" spans="8:8" ht="15.75" customHeight="1">
      <c r="H957" s="1"/>
    </row>
    <row r="958" spans="8:8" ht="15.75" customHeight="1">
      <c r="H958" s="1"/>
    </row>
    <row r="959" spans="8:8" ht="15.75" customHeight="1">
      <c r="H959" s="1"/>
    </row>
    <row r="960" spans="8:8" ht="15.75" customHeight="1">
      <c r="H960" s="1"/>
    </row>
    <row r="961" spans="8:8" ht="15.75" customHeight="1">
      <c r="H961" s="1"/>
    </row>
    <row r="962" spans="8:8" ht="15.75" customHeight="1">
      <c r="H962" s="1"/>
    </row>
    <row r="963" spans="8:8" ht="15.75" customHeight="1">
      <c r="H963" s="1"/>
    </row>
    <row r="964" spans="8:8" ht="15.75" customHeight="1">
      <c r="H964" s="1"/>
    </row>
    <row r="965" spans="8:8" ht="15.75" customHeight="1">
      <c r="H965" s="1"/>
    </row>
    <row r="966" spans="8:8" ht="15.75" customHeight="1">
      <c r="H966" s="1"/>
    </row>
    <row r="967" spans="8:8" ht="15.75" customHeight="1">
      <c r="H967" s="1"/>
    </row>
    <row r="968" spans="8:8" ht="15.75" customHeight="1">
      <c r="H968" s="1"/>
    </row>
    <row r="969" spans="8:8" ht="15.75" customHeight="1">
      <c r="H969" s="1"/>
    </row>
    <row r="970" spans="8:8" ht="15.75" customHeight="1">
      <c r="H970" s="1"/>
    </row>
    <row r="971" spans="8:8" ht="15.75" customHeight="1">
      <c r="H971" s="1"/>
    </row>
    <row r="972" spans="8:8" ht="15.75" customHeight="1">
      <c r="H972" s="1"/>
    </row>
    <row r="973" spans="8:8" ht="15.75" customHeight="1">
      <c r="H973" s="1"/>
    </row>
    <row r="974" spans="8:8" ht="15.75" customHeight="1">
      <c r="H974" s="1"/>
    </row>
    <row r="975" spans="8:8" ht="15.75" customHeight="1">
      <c r="H975" s="1"/>
    </row>
    <row r="976" spans="8:8" ht="15.75" customHeight="1">
      <c r="H976" s="1"/>
    </row>
    <row r="977" spans="8:8" ht="15.75" customHeight="1">
      <c r="H977" s="1"/>
    </row>
    <row r="978" spans="8:8" ht="15.75" customHeight="1">
      <c r="H978" s="1"/>
    </row>
    <row r="979" spans="8:8" ht="15.75" customHeight="1">
      <c r="H979" s="1"/>
    </row>
    <row r="980" spans="8:8" ht="15.75" customHeight="1">
      <c r="H980" s="1"/>
    </row>
    <row r="981" spans="8:8" ht="15.75" customHeight="1">
      <c r="H981" s="1"/>
    </row>
    <row r="982" spans="8:8" ht="15.75" customHeight="1">
      <c r="H982" s="1"/>
    </row>
    <row r="983" spans="8:8" ht="15.75" customHeight="1">
      <c r="H983" s="1"/>
    </row>
    <row r="984" spans="8:8" ht="15.75" customHeight="1">
      <c r="H984" s="1"/>
    </row>
    <row r="985" spans="8:8" ht="15.75" customHeight="1">
      <c r="H985" s="1"/>
    </row>
    <row r="986" spans="8:8" ht="15.75" customHeight="1">
      <c r="H986" s="1"/>
    </row>
    <row r="987" spans="8:8" ht="15.75" customHeight="1">
      <c r="H987" s="1"/>
    </row>
    <row r="988" spans="8:8" ht="15.75" customHeight="1">
      <c r="H988" s="1"/>
    </row>
    <row r="989" spans="8:8" ht="15.75" customHeight="1">
      <c r="H989" s="1"/>
    </row>
    <row r="990" spans="8:8" ht="15.75" customHeight="1">
      <c r="H990" s="1"/>
    </row>
    <row r="991" spans="8:8" ht="15.75" customHeight="1">
      <c r="H991" s="1"/>
    </row>
    <row r="992" spans="8:8" ht="15.75" customHeight="1">
      <c r="H992" s="1"/>
    </row>
    <row r="993" spans="8:8" ht="15.75" customHeight="1">
      <c r="H993" s="1"/>
    </row>
    <row r="994" spans="8:8" ht="15.75" customHeight="1">
      <c r="H994" s="1"/>
    </row>
    <row r="995" spans="8:8" ht="15" customHeight="1">
      <c r="H995" s="1"/>
    </row>
    <row r="996" spans="8:8" ht="15" customHeight="1">
      <c r="H996" s="1"/>
    </row>
    <row r="997" spans="8:8" ht="15" customHeight="1">
      <c r="H997" s="1"/>
    </row>
    <row r="998" spans="8:8" ht="15" customHeight="1">
      <c r="H998" s="1"/>
    </row>
    <row r="999" spans="8:8" ht="15" customHeight="1">
      <c r="H999" s="1"/>
    </row>
    <row r="1000" spans="8:8" ht="15" customHeight="1">
      <c r="H1000" s="1"/>
    </row>
    <row r="1001" spans="8:8" ht="15" customHeight="1">
      <c r="H1001" s="1"/>
    </row>
  </sheetData>
  <mergeCells count="155">
    <mergeCell ref="A147:A153"/>
    <mergeCell ref="B147:B153"/>
    <mergeCell ref="C147:C153"/>
    <mergeCell ref="D147:D153"/>
    <mergeCell ref="E147:E153"/>
    <mergeCell ref="F147:F153"/>
    <mergeCell ref="J147:J153"/>
    <mergeCell ref="A141:A146"/>
    <mergeCell ref="B141:B146"/>
    <mergeCell ref="C141:C146"/>
    <mergeCell ref="D141:D146"/>
    <mergeCell ref="E141:E146"/>
    <mergeCell ref="F141:F146"/>
    <mergeCell ref="J141:J146"/>
    <mergeCell ref="F131:F133"/>
    <mergeCell ref="J131:J133"/>
    <mergeCell ref="A134:A140"/>
    <mergeCell ref="B134:B140"/>
    <mergeCell ref="C134:C140"/>
    <mergeCell ref="D134:D140"/>
    <mergeCell ref="E134:E140"/>
    <mergeCell ref="F134:F140"/>
    <mergeCell ref="J134:J140"/>
    <mergeCell ref="A131:A133"/>
    <mergeCell ref="B131:B133"/>
    <mergeCell ref="C131:C133"/>
    <mergeCell ref="D131:D133"/>
    <mergeCell ref="E131:E133"/>
    <mergeCell ref="B125:B130"/>
    <mergeCell ref="B95:B107"/>
    <mergeCell ref="B2:C2"/>
    <mergeCell ref="F117:F124"/>
    <mergeCell ref="F70:F78"/>
    <mergeCell ref="F62:F69"/>
    <mergeCell ref="E18:E24"/>
    <mergeCell ref="F49:F61"/>
    <mergeCell ref="F5:F11"/>
    <mergeCell ref="D108:D116"/>
    <mergeCell ref="E108:E116"/>
    <mergeCell ref="B12:B17"/>
    <mergeCell ref="C12:C17"/>
    <mergeCell ref="D12:D17"/>
    <mergeCell ref="E12:E17"/>
    <mergeCell ref="F12:F17"/>
    <mergeCell ref="B5:B11"/>
    <mergeCell ref="C5:C11"/>
    <mergeCell ref="D5:D11"/>
    <mergeCell ref="E5:E11"/>
    <mergeCell ref="E79:E86"/>
    <mergeCell ref="F79:F86"/>
    <mergeCell ref="J79:J86"/>
    <mergeCell ref="A70:A78"/>
    <mergeCell ref="B70:B78"/>
    <mergeCell ref="C70:C78"/>
    <mergeCell ref="D70:D78"/>
    <mergeCell ref="E70:E78"/>
    <mergeCell ref="B1:C1"/>
    <mergeCell ref="B3:C3"/>
    <mergeCell ref="J5:J11"/>
    <mergeCell ref="A12:A17"/>
    <mergeCell ref="J12:J17"/>
    <mergeCell ref="A5:A11"/>
    <mergeCell ref="C25:C30"/>
    <mergeCell ref="D25:D30"/>
    <mergeCell ref="B49:B61"/>
    <mergeCell ref="C49:C61"/>
    <mergeCell ref="D49:D61"/>
    <mergeCell ref="A41:A48"/>
    <mergeCell ref="A62:A69"/>
    <mergeCell ref="B62:B69"/>
    <mergeCell ref="C62:C69"/>
    <mergeCell ref="D62:D69"/>
    <mergeCell ref="F18:F24"/>
    <mergeCell ref="J18:J24"/>
    <mergeCell ref="E25:E30"/>
    <mergeCell ref="F25:F30"/>
    <mergeCell ref="J25:J30"/>
    <mergeCell ref="J41:J48"/>
    <mergeCell ref="E49:E61"/>
    <mergeCell ref="A18:A24"/>
    <mergeCell ref="B18:B24"/>
    <mergeCell ref="C18:C24"/>
    <mergeCell ref="D18:D24"/>
    <mergeCell ref="B31:B40"/>
    <mergeCell ref="C31:C40"/>
    <mergeCell ref="D31:D40"/>
    <mergeCell ref="E31:E40"/>
    <mergeCell ref="F31:F40"/>
    <mergeCell ref="J31:J40"/>
    <mergeCell ref="C41:C48"/>
    <mergeCell ref="B41:B48"/>
    <mergeCell ref="D41:D48"/>
    <mergeCell ref="E41:E48"/>
    <mergeCell ref="F41:F48"/>
    <mergeCell ref="A25:A30"/>
    <mergeCell ref="B25:B30"/>
    <mergeCell ref="F95:F107"/>
    <mergeCell ref="J95:J107"/>
    <mergeCell ref="E125:E130"/>
    <mergeCell ref="F108:F116"/>
    <mergeCell ref="J108:J116"/>
    <mergeCell ref="A108:A116"/>
    <mergeCell ref="B108:B116"/>
    <mergeCell ref="C108:C116"/>
    <mergeCell ref="A31:A40"/>
    <mergeCell ref="A49:A61"/>
    <mergeCell ref="J49:J61"/>
    <mergeCell ref="J62:J69"/>
    <mergeCell ref="E62:E69"/>
    <mergeCell ref="J117:J124"/>
    <mergeCell ref="A117:A124"/>
    <mergeCell ref="B117:B124"/>
    <mergeCell ref="C117:C124"/>
    <mergeCell ref="D117:D124"/>
    <mergeCell ref="E117:E124"/>
    <mergeCell ref="J70:J78"/>
    <mergeCell ref="A79:A86"/>
    <mergeCell ref="B79:B86"/>
    <mergeCell ref="C79:C86"/>
    <mergeCell ref="D79:D86"/>
    <mergeCell ref="L147:L153"/>
    <mergeCell ref="L141:L146"/>
    <mergeCell ref="L134:L140"/>
    <mergeCell ref="L131:L133"/>
    <mergeCell ref="L125:L130"/>
    <mergeCell ref="L117:L124"/>
    <mergeCell ref="L108:L116"/>
    <mergeCell ref="L95:L107"/>
    <mergeCell ref="A87:A94"/>
    <mergeCell ref="B87:B94"/>
    <mergeCell ref="C87:C94"/>
    <mergeCell ref="D87:D94"/>
    <mergeCell ref="E87:E94"/>
    <mergeCell ref="A125:A130"/>
    <mergeCell ref="J125:J130"/>
    <mergeCell ref="A95:A107"/>
    <mergeCell ref="F87:F94"/>
    <mergeCell ref="J87:J94"/>
    <mergeCell ref="F125:F130"/>
    <mergeCell ref="D125:D130"/>
    <mergeCell ref="C125:C130"/>
    <mergeCell ref="C95:C107"/>
    <mergeCell ref="D95:D107"/>
    <mergeCell ref="E95:E107"/>
    <mergeCell ref="L12:L17"/>
    <mergeCell ref="L5:L11"/>
    <mergeCell ref="L87:L94"/>
    <mergeCell ref="L79:L86"/>
    <mergeCell ref="L70:L78"/>
    <mergeCell ref="L62:L69"/>
    <mergeCell ref="L49:L61"/>
    <mergeCell ref="L41:L48"/>
    <mergeCell ref="L31:L40"/>
    <mergeCell ref="L25:L30"/>
    <mergeCell ref="L18:L24"/>
  </mergeCells>
  <dataValidations count="1">
    <dataValidation type="list" allowBlank="1" sqref="K31:K45 K62:K67 K70:K85 J18 J25 J49:K49 J41 J31 J62 J70 J79 J117 J125 J87 J95 J108 K108:K123 K87:K105 K18:K28 J131 J134:J138 J147:J151 K125:K153">
      <formula1>#REF!</formula1>
    </dataValidation>
  </dataValidations>
  <hyperlinks>
    <hyperlink ref="A2" r:id="rId1"/>
  </hyperlinks>
  <pageMargins left="0.7" right="0.7" top="0.75" bottom="0.75" header="0" footer="0"/>
  <pageSetup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y ejecuciones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Documentaciontest</dc:title>
  <dc:creator>Matias Borgogno</dc:creator>
  <cp:lastModifiedBy>Maleniter</cp:lastModifiedBy>
  <dcterms:created xsi:type="dcterms:W3CDTF">2022-05-20T02:49:36Z</dcterms:created>
  <dcterms:modified xsi:type="dcterms:W3CDTF">2022-06-20T23:42:15Z</dcterms:modified>
</cp:coreProperties>
</file>